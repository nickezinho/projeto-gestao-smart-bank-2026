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uel.ferreira\Downloads\"/>
    </mc:Choice>
  </mc:AlternateContent>
  <xr:revisionPtr revIDLastSave="0" documentId="13_ncr:20001_{BF40EC04-5B12-432C-964F-E810EFD71B3B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Capa" sheetId="1" r:id="rId1"/>
    <sheet name="01_TAP" sheetId="2" r:id="rId2"/>
    <sheet name="02_EAP" sheetId="3" r:id="rId3"/>
    <sheet name="03_Backlog" sheetId="4" r:id="rId4"/>
    <sheet name="04_RACI" sheetId="5" r:id="rId5"/>
    <sheet name="05_Gantt" sheetId="6" r:id="rId6"/>
    <sheet name="06_Custos" sheetId="7" r:id="rId7"/>
    <sheet name="07_Dashboard" sheetId="8" r:id="rId8"/>
  </sheets>
  <definedNames>
    <definedName name="_xlnm._FilterDatabase" localSheetId="2" hidden="1">'02_EAP'!$B$3:$D$31</definedName>
    <definedName name="_xlnm._FilterDatabase" localSheetId="3" hidden="1">'03_Backlog'!$B$3:$H$17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4" i="6"/>
  <c r="B6" i="6"/>
  <c r="B7" i="6"/>
  <c r="B8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5" i="6"/>
  <c r="C4" i="5"/>
  <c r="D4" i="5"/>
  <c r="E4" i="5"/>
  <c r="F4" i="5"/>
  <c r="G4" i="5"/>
  <c r="H4" i="5"/>
  <c r="I4" i="5"/>
  <c r="J4" i="5"/>
  <c r="K4" i="5"/>
  <c r="B4" i="5"/>
  <c r="D12" i="7"/>
  <c r="D11" i="7"/>
  <c r="D10" i="7"/>
  <c r="D9" i="7"/>
  <c r="D8" i="7"/>
  <c r="D7" i="7"/>
  <c r="D6" i="7"/>
  <c r="D5" i="7"/>
  <c r="D4" i="7"/>
</calcChain>
</file>

<file path=xl/sharedStrings.xml><?xml version="1.0" encoding="utf-8"?>
<sst xmlns="http://schemas.openxmlformats.org/spreadsheetml/2006/main" count="487" uniqueCount="233">
  <si>
    <t>SMARTINVEST BANK</t>
  </si>
  <si>
    <t>DOCUMENTAÇÃO PROFISSIONAL DO PROJETO</t>
  </si>
  <si>
    <t>Empresa</t>
  </si>
  <si>
    <t>SmartInvest Bank</t>
  </si>
  <si>
    <t>Ramo</t>
  </si>
  <si>
    <t>Tecnologia Financeira (fintech)</t>
  </si>
  <si>
    <t>Objetivo</t>
  </si>
  <si>
    <t>Plataforma digital para educação financeira e simulação de investimentos.</t>
  </si>
  <si>
    <t>Versão</t>
  </si>
  <si>
    <t>1.0</t>
  </si>
  <si>
    <t>Data</t>
  </si>
  <si>
    <t>28/09/2026</t>
  </si>
  <si>
    <t>Integrantes</t>
  </si>
  <si>
    <t>Nome</t>
  </si>
  <si>
    <t>RA</t>
  </si>
  <si>
    <t>Função</t>
  </si>
  <si>
    <t>Samuel Ferreira de Lima</t>
  </si>
  <si>
    <t>Não informado</t>
  </si>
  <si>
    <t>Lucas Rangel Lopes</t>
  </si>
  <si>
    <t>Fernando de Morais Gomes</t>
  </si>
  <si>
    <t>TAP – TERMO DE ABERTURA DO PROJETO</t>
  </si>
  <si>
    <t>Nome do projeto</t>
  </si>
  <si>
    <t>Patrocinador</t>
  </si>
  <si>
    <t>A definir pela instituição de ensino / grupo</t>
  </si>
  <si>
    <t>Gerente do projeto</t>
  </si>
  <si>
    <t>Desenvolver uma plataforma digital de educação financeira e simulação de investimentos, permitindo ao usuário administrar uma carteira virtual, realizar transações simuladas e receber recomendações conforme seu perfil de risco.</t>
  </si>
  <si>
    <t>Justificativa</t>
  </si>
  <si>
    <t>Facilitar a compreensão de investimentos e apoiar decisões financeiras por meio de um ambiente digital seguro, didático e orientado ao perfil do usuário.</t>
  </si>
  <si>
    <t>Escopo incluído</t>
  </si>
  <si>
    <t>Cadastro/login; perfil de investidor; carteira virtual; operações simuladas; recomendações por regras; dashboard; relatórios; conteúdos educacionais; administração; logs; testes e documentação.</t>
  </si>
  <si>
    <t>Fora do escopo</t>
  </si>
  <si>
    <t>Operações financeiras reais, custódia de recursos, execução de ordens reais, promessa de rentabilidade e aconselhamento financeiro individualizado.</t>
  </si>
  <si>
    <t>Premissas</t>
  </si>
  <si>
    <t>Dados de mercado podem ser simulados; equipe com disponibilidade acadêmica; requisitos serão validados pelos integrantes; solução será tratada como protótipo acadêmico.</t>
  </si>
  <si>
    <t>Restrições</t>
  </si>
  <si>
    <t>Prazo acadêmico; orçamento estimado; disponibilidade limitada da equipe; necessidade de ferramentas acessíveis.</t>
  </si>
  <si>
    <t>Riscos principais</t>
  </si>
  <si>
    <t>Mudança de requisitos; atraso de desenvolvimento; falhas de segurança; inconsistências em regras de recomendação; indisponibilidade de dados/serviços.</t>
  </si>
  <si>
    <t>Critérios de sucesso</t>
  </si>
  <si>
    <t>Entregas concluídas conforme EAP; requisitos críticos implementados; testes aprovados; documentação completa; apresentação realizada.</t>
  </si>
  <si>
    <t>Entregáveis</t>
  </si>
  <si>
    <t>TAP, EAP, Backlog, RACI, Gantt, Gestão de Custos, protótipo/solução, testes e documentação final.</t>
  </si>
  <si>
    <t>EAP – ESTRUTURA ANALÍTICA DO PROJETO</t>
  </si>
  <si>
    <t>Código</t>
  </si>
  <si>
    <t>Pacote / Entrega</t>
  </si>
  <si>
    <t>Descrição</t>
  </si>
  <si>
    <t>1</t>
  </si>
  <si>
    <t>SmartInvest Bank – Projeto</t>
  </si>
  <si>
    <t>Projeto completo</t>
  </si>
  <si>
    <t>1.1</t>
  </si>
  <si>
    <t>Iniciação</t>
  </si>
  <si>
    <t>Formalização e definição inicial</t>
  </si>
  <si>
    <t>1.1.1</t>
  </si>
  <si>
    <t>Termo de Abertura do Projeto</t>
  </si>
  <si>
    <t>Documento de autorização do projeto</t>
  </si>
  <si>
    <t>1.1.2</t>
  </si>
  <si>
    <t>Identificação das partes interessadas</t>
  </si>
  <si>
    <t>Stakeholders e necessidades</t>
  </si>
  <si>
    <t>1.2</t>
  </si>
  <si>
    <t>Planejamento</t>
  </si>
  <si>
    <t>Planejamento do produto e do projeto</t>
  </si>
  <si>
    <t>1.2.1</t>
  </si>
  <si>
    <t>Levantamento de requisitos</t>
  </si>
  <si>
    <t>Requisitos funcionais e não funcionais</t>
  </si>
  <si>
    <t>1.2.2</t>
  </si>
  <si>
    <t>Backlog do produto</t>
  </si>
  <si>
    <t>Priorização das necessidades</t>
  </si>
  <si>
    <t>1.2.3</t>
  </si>
  <si>
    <t>Arquitetura da solução</t>
  </si>
  <si>
    <t>Definição da estrutura técnica</t>
  </si>
  <si>
    <t>1.2.4</t>
  </si>
  <si>
    <t>Plano de cronograma e custos</t>
  </si>
  <si>
    <t>Estimativas e linha de base</t>
  </si>
  <si>
    <t>1.3</t>
  </si>
  <si>
    <t>UX/UI e prototipação</t>
  </si>
  <si>
    <t>Experiência e interface</t>
  </si>
  <si>
    <t>1.3.1</t>
  </si>
  <si>
    <t>Fluxos de usuário</t>
  </si>
  <si>
    <t>Jornadas principais</t>
  </si>
  <si>
    <t>1.3.2</t>
  </si>
  <si>
    <t>Protótipo das telas</t>
  </si>
  <si>
    <t>Telas e navegação</t>
  </si>
  <si>
    <t>1.4</t>
  </si>
  <si>
    <t>Desenvolvimento</t>
  </si>
  <si>
    <t>Construção da solução</t>
  </si>
  <si>
    <t>1.4.1</t>
  </si>
  <si>
    <t>Autenticação e usuários</t>
  </si>
  <si>
    <t>Cadastro, login e permissões</t>
  </si>
  <si>
    <t>1.4.2</t>
  </si>
  <si>
    <t>Perfil de investidor</t>
  </si>
  <si>
    <t>Questionário e classificação</t>
  </si>
  <si>
    <t>1.4.3</t>
  </si>
  <si>
    <t>Carteira virtual</t>
  </si>
  <si>
    <t>Saldo, ativos e posição</t>
  </si>
  <si>
    <t>1.4.4</t>
  </si>
  <si>
    <t>Simulação de operações</t>
  </si>
  <si>
    <t>Compra, venda e histórico</t>
  </si>
  <si>
    <t>1.4.5</t>
  </si>
  <si>
    <t>Recomendações</t>
  </si>
  <si>
    <t>Motor de regras por perfil</t>
  </si>
  <si>
    <t>1.4.6</t>
  </si>
  <si>
    <t>Dashboard e relatórios</t>
  </si>
  <si>
    <t>Indicadores e relatórios</t>
  </si>
  <si>
    <t>1.4.7</t>
  </si>
  <si>
    <t>Educação financeira</t>
  </si>
  <si>
    <t>Conteúdo e navegação</t>
  </si>
  <si>
    <t>1.5</t>
  </si>
  <si>
    <t>Segurança e qualidade</t>
  </si>
  <si>
    <t>Controles e validações</t>
  </si>
  <si>
    <t>1.5.1</t>
  </si>
  <si>
    <t>1.5.2</t>
  </si>
  <si>
    <t>Testes funcionais</t>
  </si>
  <si>
    <t>Validação dos requisitos</t>
  </si>
  <si>
    <t>1.5.3</t>
  </si>
  <si>
    <t>Testes de segurança</t>
  </si>
  <si>
    <t>Controles e vulnerabilidades</t>
  </si>
  <si>
    <t>Teste de usabilidade</t>
  </si>
  <si>
    <t>Avaliação da experiência</t>
  </si>
  <si>
    <t>1.6</t>
  </si>
  <si>
    <t>Implantação e encerramento</t>
  </si>
  <si>
    <t>Entrega e documentação</t>
  </si>
  <si>
    <t>1.6.1</t>
  </si>
  <si>
    <t>Homologação</t>
  </si>
  <si>
    <t>Aceite da solução</t>
  </si>
  <si>
    <t>1.6.2</t>
  </si>
  <si>
    <t>Documentação final</t>
  </si>
  <si>
    <t>Manual e documentação técnica</t>
  </si>
  <si>
    <t>1.6.3</t>
  </si>
  <si>
    <t>Apresentação e encerramento</t>
  </si>
  <si>
    <t>Entrega acadêmica e lições aprendidas</t>
  </si>
  <si>
    <t>BACKLOG DO PROJETO</t>
  </si>
  <si>
    <t>ID</t>
  </si>
  <si>
    <t>Necessidade / História</t>
  </si>
  <si>
    <t>Usuário</t>
  </si>
  <si>
    <t>Classificação</t>
  </si>
  <si>
    <t>Prioridade</t>
  </si>
  <si>
    <t>Critério de aceite</t>
  </si>
  <si>
    <t>Cadastro e login seguro</t>
  </si>
  <si>
    <t>Permitir criação de conta e acesso autenticado à plataforma.</t>
  </si>
  <si>
    <t>Must Have</t>
  </si>
  <si>
    <t>Alta</t>
  </si>
  <si>
    <t>Funcionalidade disponível e validada em teste.</t>
  </si>
  <si>
    <t>Identificar o perfil de risco por meio de questionário.</t>
  </si>
  <si>
    <t>Visualizar e administrar uma carteira de investimentos simulada.</t>
  </si>
  <si>
    <t>Simulação de compra e venda</t>
  </si>
  <si>
    <t>Executar operações simuladas de compra e venda de ativos.</t>
  </si>
  <si>
    <t>Recomendações por perfil</t>
  </si>
  <si>
    <t>Receber sugestões educacionais de investimentos compatíveis com o perfil.</t>
  </si>
  <si>
    <t>Dashboard financeiro</t>
  </si>
  <si>
    <t>Visualizar saldo, patrimônio, rentabilidade e distribuição da carteira.</t>
  </si>
  <si>
    <t>Histórico de transações</t>
  </si>
  <si>
    <t>Consultar operações e movimentações realizadas na simulação.</t>
  </si>
  <si>
    <t>Should Have</t>
  </si>
  <si>
    <t>Média</t>
  </si>
  <si>
    <t>Funcionalidade implementada e validada conforme requisito.</t>
  </si>
  <si>
    <t>Relatórios de desempenho</t>
  </si>
  <si>
    <t>Gerar análises de rentabilidade e evolução da carteira.</t>
  </si>
  <si>
    <t>Conteúdo de educação financeira</t>
  </si>
  <si>
    <t>Disponibilizar conteúdos para explicar conceitos financeiros e de investimentos.</t>
  </si>
  <si>
    <t>Alertas e notificações</t>
  </si>
  <si>
    <t>Informar alterações relevantes na carteira e eventos da simulação.</t>
  </si>
  <si>
    <t>Could Have</t>
  </si>
  <si>
    <t>Baixa</t>
  </si>
  <si>
    <t>Administração de usuários</t>
  </si>
  <si>
    <t>Administrador</t>
  </si>
  <si>
    <t>Gerenciar usuários, permissões e dados básicos da plataforma.</t>
  </si>
  <si>
    <t>Auditoria e logs</t>
  </si>
  <si>
    <t>Registrar eventos relevantes para rastreabilidade e segurança.</t>
  </si>
  <si>
    <t>Proteção de dados</t>
  </si>
  <si>
    <t>Aplicar controles de segurança e privacidade aos dados da plataforma.</t>
  </si>
  <si>
    <t>Equipe</t>
  </si>
  <si>
    <t>Validar facilidade de uso com cenários de teste.</t>
  </si>
  <si>
    <t>MATRIZ RACI</t>
  </si>
  <si>
    <t>Atividade</t>
  </si>
  <si>
    <t>TAP e planejamento do projeto</t>
  </si>
  <si>
    <t>A/R</t>
  </si>
  <si>
    <t>C</t>
  </si>
  <si>
    <t>A</t>
  </si>
  <si>
    <t>R</t>
  </si>
  <si>
    <t>Backlog e priorização</t>
  </si>
  <si>
    <t>UX/UI e protótipos</t>
  </si>
  <si>
    <t>Carteira e simulação</t>
  </si>
  <si>
    <t>Recomendações de investimentos</t>
  </si>
  <si>
    <t>Segurança e auditoria</t>
  </si>
  <si>
    <t>Legenda</t>
  </si>
  <si>
    <t>R = Responsible (Executa) | A = Accountable (Responsável final) | C = Consulted (Consultado) | I = Informed (Informado)</t>
  </si>
  <si>
    <t>GESTÃO DO CRONOGRAMA – GANTT</t>
  </si>
  <si>
    <t>Início</t>
  </si>
  <si>
    <t>Fim</t>
  </si>
  <si>
    <t>Duração (dias)</t>
  </si>
  <si>
    <t>Iniciação e TAP</t>
  </si>
  <si>
    <t>Segurança, logs e auditoria</t>
  </si>
  <si>
    <t>GESTÃO DE CUSTOS</t>
  </si>
  <si>
    <t>Item</t>
  </si>
  <si>
    <t>Valor/hora (R$)</t>
  </si>
  <si>
    <t>Horas / Quantidade</t>
  </si>
  <si>
    <t>Custo total (R$)</t>
  </si>
  <si>
    <t>Observação</t>
  </si>
  <si>
    <t>Gerenciamento do projeto</t>
  </si>
  <si>
    <t>Análise de requisitos</t>
  </si>
  <si>
    <t>Arquitetura e desenvolvimento</t>
  </si>
  <si>
    <t>Testes e qualidade</t>
  </si>
  <si>
    <t>Documentação e apresentação</t>
  </si>
  <si>
    <t>Infraestrutura/serviços de desenvolvimento</t>
  </si>
  <si>
    <t>TOTAL ESTIMADO</t>
  </si>
  <si>
    <t>PAINEL EXECUTIVO</t>
  </si>
  <si>
    <t>Projeto</t>
  </si>
  <si>
    <t>Distribuição do Backlog por prioridade</t>
  </si>
  <si>
    <t>Total de backlog items</t>
  </si>
  <si>
    <t>Quantidade</t>
  </si>
  <si>
    <t>Itens prioridade alta</t>
  </si>
  <si>
    <t>Pacotes EAP</t>
  </si>
  <si>
    <t>Atividades no Gantt</t>
  </si>
  <si>
    <t>Custo estimado</t>
  </si>
  <si>
    <t>R$ 23.700,00</t>
  </si>
  <si>
    <t>Duração planejada</t>
  </si>
  <si>
    <t>98 dias</t>
  </si>
  <si>
    <t>Eric da Silva Rodrigues</t>
  </si>
  <si>
    <t>Tech Lead</t>
  </si>
  <si>
    <t>Analista de Dados</t>
  </si>
  <si>
    <t>Analista de Cibersegurança</t>
  </si>
  <si>
    <t>Lucas Thiago Magalhães Rocha</t>
  </si>
  <si>
    <t>Julio Rocha Lipa</t>
  </si>
  <si>
    <t>Matheus Saloio dos Santos Domingos Silveira</t>
  </si>
  <si>
    <t>Pablo Faustino de Melo Silva</t>
  </si>
  <si>
    <t>Gustavo Figueiredo Alexandre</t>
  </si>
  <si>
    <t>Analista PO</t>
  </si>
  <si>
    <t>Gerente de Projetos</t>
  </si>
  <si>
    <t>A/C</t>
  </si>
  <si>
    <t>I</t>
  </si>
  <si>
    <t>R/C</t>
  </si>
  <si>
    <t>Guilherme Augusto Schmidt Pereira</t>
  </si>
  <si>
    <t>&gt; valores podem variar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</si>
</sst>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/mm"/>
    <numFmt numFmtId="166" formatCode="\R\$\ #,##0.00"/>
  </numFmts>
  <fonts count="11" x14ac:knownFonts="1"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</font>
    <font>
      <b/>
      <sz val="16"/>
      <color rgb="FF2F75B5"/>
      <name val="Calibri"/>
      <family val="2"/>
    </font>
    <font>
      <b/>
      <sz val="11"/>
      <color rgb="FF17365D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1"/>
      <name val="Calibri"/>
      <family val="2"/>
    </font>
    <font>
      <b/>
      <sz val="8"/>
      <color rgb="FFFFFFFF"/>
      <name val="Calibri"/>
      <family val="2"/>
    </font>
    <font>
      <b/>
      <sz val="14"/>
      <color rgb="FF2F75B5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hair">
        <color rgb="FFD9D9D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4" borderId="2" xfId="0" applyFill="1" applyBorder="1"/>
    <xf numFmtId="0" fontId="0" fillId="0" borderId="2" xfId="0" applyBorder="1"/>
    <xf numFmtId="166" fontId="0" fillId="0" borderId="1" xfId="0" applyNumberFormat="1" applyBorder="1" applyAlignment="1">
      <alignment vertical="center"/>
    </xf>
    <xf numFmtId="0" fontId="0" fillId="0" borderId="1" xfId="0" applyBorder="1"/>
    <xf numFmtId="166" fontId="5" fillId="2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vertical="center"/>
    </xf>
    <xf numFmtId="165" fontId="8" fillId="4" borderId="0" xfId="0" applyNumberFormat="1" applyFont="1" applyFill="1" applyAlignment="1">
      <alignment vertical="center" textRotation="90"/>
    </xf>
    <xf numFmtId="0" fontId="5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Backlog por prioridade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'07_Dashboard'!$G$4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'07_Dashboard'!$F$5:$F$7</c:f>
              <c:strCache>
                <c:ptCount val="3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</c:strCache>
            </c:strRef>
          </c:cat>
          <c:val>
            <c:numRef>
              <c:f>'07_Dashboard'!$G$5:$G$7</c:f>
              <c:numCache>
                <c:formatCode>General</c:formatCode>
                <c:ptCount val="3"/>
                <c:pt idx="0">
                  <c:v>9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8-45D9-BC09-CA901FD52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Prioridade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39FD28-D275-43D9-8042-4CF2FE6DCD1E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eQm6YdLwxx69tc3Jrp8U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showGridLines="0" zoomScale="121" workbookViewId="0">
      <pane ySplit="1" topLeftCell="A12" activePane="bottomLeft" state="frozen"/>
      <selection pane="bottomLeft" activeCell="A24" sqref="A24"/>
    </sheetView>
  </sheetViews>
  <sheetFormatPr defaultColWidth="0" defaultRowHeight="14.5" x14ac:dyDescent="0.35"/>
  <cols>
    <col min="1" max="1" width="37.81640625" bestFit="1" customWidth="1"/>
    <col min="2" max="2" width="63.453125" bestFit="1" customWidth="1"/>
    <col min="3" max="3" width="32" customWidth="1"/>
    <col min="4" max="8" width="16" customWidth="1"/>
    <col min="9" max="16384" width="8.7265625" hidden="1"/>
  </cols>
  <sheetData>
    <row r="1" spans="1:8" x14ac:dyDescent="0.35">
      <c r="A1" s="19" t="s">
        <v>0</v>
      </c>
      <c r="B1" s="20"/>
      <c r="C1" s="20"/>
      <c r="D1" s="20"/>
      <c r="E1" s="20"/>
      <c r="F1" s="20"/>
      <c r="G1" s="20"/>
      <c r="H1" s="20"/>
    </row>
    <row r="2" spans="1:8" x14ac:dyDescent="0.35">
      <c r="A2" s="20"/>
      <c r="B2" s="20"/>
      <c r="C2" s="20"/>
      <c r="D2" s="20"/>
      <c r="E2" s="20"/>
      <c r="F2" s="20"/>
      <c r="G2" s="20"/>
      <c r="H2" s="20"/>
    </row>
    <row r="4" spans="1:8" ht="21" x14ac:dyDescent="0.5">
      <c r="A4" s="22" t="s">
        <v>1</v>
      </c>
      <c r="B4" s="20"/>
      <c r="C4" s="20"/>
      <c r="D4" s="20"/>
      <c r="E4" s="20"/>
      <c r="F4" s="20"/>
      <c r="G4" s="20"/>
      <c r="H4" s="20"/>
    </row>
    <row r="6" spans="1:8" x14ac:dyDescent="0.35">
      <c r="A6" s="1" t="s">
        <v>2</v>
      </c>
      <c r="B6" s="2" t="s">
        <v>3</v>
      </c>
    </row>
    <row r="7" spans="1:8" x14ac:dyDescent="0.35">
      <c r="A7" s="1" t="s">
        <v>4</v>
      </c>
      <c r="B7" s="2" t="s">
        <v>5</v>
      </c>
    </row>
    <row r="8" spans="1:8" x14ac:dyDescent="0.35">
      <c r="A8" s="1" t="s">
        <v>6</v>
      </c>
      <c r="B8" s="2" t="s">
        <v>7</v>
      </c>
    </row>
    <row r="9" spans="1:8" x14ac:dyDescent="0.35">
      <c r="A9" s="1" t="s">
        <v>8</v>
      </c>
      <c r="B9" s="2" t="s">
        <v>9</v>
      </c>
    </row>
    <row r="10" spans="1:8" x14ac:dyDescent="0.35">
      <c r="A10" s="1" t="s">
        <v>10</v>
      </c>
      <c r="B10" s="2" t="s">
        <v>11</v>
      </c>
    </row>
    <row r="13" spans="1:8" ht="18.5" x14ac:dyDescent="0.35">
      <c r="A13" s="21" t="s">
        <v>12</v>
      </c>
      <c r="B13" s="20"/>
      <c r="C13" s="20"/>
      <c r="D13" s="20"/>
      <c r="E13" s="20"/>
      <c r="F13" s="20"/>
      <c r="G13" s="20"/>
      <c r="H13" s="20"/>
    </row>
    <row r="14" spans="1:8" x14ac:dyDescent="0.35">
      <c r="A14" s="3" t="s">
        <v>13</v>
      </c>
      <c r="B14" s="3" t="s">
        <v>14</v>
      </c>
      <c r="C14" s="3" t="s">
        <v>15</v>
      </c>
    </row>
    <row r="15" spans="1:8" x14ac:dyDescent="0.35">
      <c r="A15" s="2" t="s">
        <v>16</v>
      </c>
      <c r="B15" s="2" t="s">
        <v>17</v>
      </c>
      <c r="C15" s="2" t="s">
        <v>218</v>
      </c>
    </row>
    <row r="16" spans="1:8" x14ac:dyDescent="0.35">
      <c r="A16" s="2" t="s">
        <v>217</v>
      </c>
      <c r="B16" s="2" t="s">
        <v>17</v>
      </c>
      <c r="C16" s="2" t="s">
        <v>219</v>
      </c>
    </row>
    <row r="17" spans="1:3" x14ac:dyDescent="0.35">
      <c r="A17" s="2" t="s">
        <v>18</v>
      </c>
      <c r="B17" s="2" t="s">
        <v>17</v>
      </c>
      <c r="C17" s="2" t="s">
        <v>227</v>
      </c>
    </row>
    <row r="18" spans="1:3" x14ac:dyDescent="0.35">
      <c r="A18" s="2" t="s">
        <v>19</v>
      </c>
      <c r="B18" s="2" t="s">
        <v>17</v>
      </c>
      <c r="C18" s="2" t="s">
        <v>220</v>
      </c>
    </row>
    <row r="19" spans="1:3" x14ac:dyDescent="0.35">
      <c r="A19" s="2" t="s">
        <v>221</v>
      </c>
      <c r="B19" s="2" t="s">
        <v>17</v>
      </c>
      <c r="C19" s="2" t="s">
        <v>220</v>
      </c>
    </row>
    <row r="20" spans="1:3" x14ac:dyDescent="0.35">
      <c r="A20" s="2" t="s">
        <v>222</v>
      </c>
      <c r="B20" s="2" t="s">
        <v>17</v>
      </c>
      <c r="C20" s="2" t="s">
        <v>227</v>
      </c>
    </row>
    <row r="21" spans="1:3" x14ac:dyDescent="0.35">
      <c r="A21" s="2" t="s">
        <v>223</v>
      </c>
      <c r="B21" s="2" t="s">
        <v>17</v>
      </c>
      <c r="C21" s="2" t="s">
        <v>227</v>
      </c>
    </row>
    <row r="22" spans="1:3" x14ac:dyDescent="0.35">
      <c r="A22" s="2" t="s">
        <v>224</v>
      </c>
      <c r="B22" s="2" t="s">
        <v>17</v>
      </c>
      <c r="C22" s="2" t="s">
        <v>226</v>
      </c>
    </row>
    <row r="23" spans="1:3" x14ac:dyDescent="0.35">
      <c r="A23" s="2" t="s">
        <v>225</v>
      </c>
      <c r="B23" s="2" t="s">
        <v>17</v>
      </c>
      <c r="C23" s="2" t="s">
        <v>219</v>
      </c>
    </row>
    <row r="24" spans="1:3" x14ac:dyDescent="0.35">
      <c r="A24" s="2" t="s">
        <v>231</v>
      </c>
      <c r="B24" s="2" t="s">
        <v>17</v>
      </c>
      <c r="C24" s="2" t="s">
        <v>226</v>
      </c>
    </row>
  </sheetData>
  <mergeCells count="3">
    <mergeCell ref="A1:H2"/>
    <mergeCell ref="A13:H13"/>
    <mergeCell ref="A4:H4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6"/>
  <sheetViews>
    <sheetView showGridLines="0" zoomScale="58" workbookViewId="0">
      <pane ySplit="1" topLeftCell="A2" activePane="bottomLeft" state="frozen"/>
      <selection pane="bottomLeft" activeCell="A17" sqref="A17:XFD1048576"/>
    </sheetView>
  </sheetViews>
  <sheetFormatPr defaultColWidth="0" defaultRowHeight="14.5" zeroHeight="1" x14ac:dyDescent="0.35"/>
  <cols>
    <col min="1" max="1" width="4" customWidth="1"/>
    <col min="2" max="2" width="27" customWidth="1"/>
    <col min="3" max="3" width="30" customWidth="1"/>
    <col min="4" max="7" width="20" customWidth="1"/>
    <col min="8" max="8" width="4" customWidth="1"/>
    <col min="9" max="16384" width="8.7265625" hidden="1"/>
  </cols>
  <sheetData>
    <row r="1" spans="2:7" ht="30" customHeight="1" x14ac:dyDescent="0.35">
      <c r="B1" s="23" t="s">
        <v>20</v>
      </c>
      <c r="C1" s="20"/>
      <c r="D1" s="20"/>
      <c r="E1" s="20"/>
      <c r="F1" s="20"/>
      <c r="G1" s="20"/>
    </row>
    <row r="2" spans="2:7" x14ac:dyDescent="0.35"/>
    <row r="3" spans="2:7" x14ac:dyDescent="0.35">
      <c r="B3" s="28" t="s">
        <v>21</v>
      </c>
      <c r="C3" s="29" t="s">
        <v>3</v>
      </c>
      <c r="D3" s="30"/>
      <c r="E3" s="30"/>
      <c r="F3" s="30"/>
      <c r="G3" s="30"/>
    </row>
    <row r="4" spans="2:7" x14ac:dyDescent="0.35">
      <c r="B4" s="28" t="s">
        <v>22</v>
      </c>
      <c r="C4" s="29" t="s">
        <v>23</v>
      </c>
      <c r="D4" s="30"/>
      <c r="E4" s="30"/>
      <c r="F4" s="30"/>
      <c r="G4" s="30"/>
    </row>
    <row r="5" spans="2:7" x14ac:dyDescent="0.35">
      <c r="B5" s="28" t="s">
        <v>24</v>
      </c>
      <c r="C5" s="29" t="s">
        <v>16</v>
      </c>
      <c r="D5" s="30"/>
      <c r="E5" s="30"/>
      <c r="F5" s="30"/>
      <c r="G5" s="30"/>
    </row>
    <row r="6" spans="2:7" x14ac:dyDescent="0.35">
      <c r="B6" s="28" t="s">
        <v>6</v>
      </c>
      <c r="C6" s="29" t="s">
        <v>25</v>
      </c>
      <c r="D6" s="30"/>
      <c r="E6" s="30"/>
      <c r="F6" s="30"/>
      <c r="G6" s="30"/>
    </row>
    <row r="7" spans="2:7" x14ac:dyDescent="0.35">
      <c r="B7" s="28" t="s">
        <v>26</v>
      </c>
      <c r="C7" s="29" t="s">
        <v>27</v>
      </c>
      <c r="D7" s="30"/>
      <c r="E7" s="30"/>
      <c r="F7" s="30"/>
      <c r="G7" s="30"/>
    </row>
    <row r="8" spans="2:7" x14ac:dyDescent="0.35">
      <c r="B8" s="28" t="s">
        <v>28</v>
      </c>
      <c r="C8" s="29" t="s">
        <v>29</v>
      </c>
      <c r="D8" s="30"/>
      <c r="E8" s="30"/>
      <c r="F8" s="30"/>
      <c r="G8" s="30"/>
    </row>
    <row r="9" spans="2:7" x14ac:dyDescent="0.35">
      <c r="B9" s="28" t="s">
        <v>30</v>
      </c>
      <c r="C9" s="29" t="s">
        <v>31</v>
      </c>
      <c r="D9" s="30"/>
      <c r="E9" s="30"/>
      <c r="F9" s="30"/>
      <c r="G9" s="30"/>
    </row>
    <row r="10" spans="2:7" x14ac:dyDescent="0.35">
      <c r="B10" s="28" t="s">
        <v>32</v>
      </c>
      <c r="C10" s="29" t="s">
        <v>33</v>
      </c>
      <c r="D10" s="30"/>
      <c r="E10" s="30"/>
      <c r="F10" s="30"/>
      <c r="G10" s="30"/>
    </row>
    <row r="11" spans="2:7" x14ac:dyDescent="0.35">
      <c r="B11" s="28" t="s">
        <v>34</v>
      </c>
      <c r="C11" s="29" t="s">
        <v>35</v>
      </c>
      <c r="D11" s="30"/>
      <c r="E11" s="30"/>
      <c r="F11" s="30"/>
      <c r="G11" s="30"/>
    </row>
    <row r="12" spans="2:7" x14ac:dyDescent="0.35">
      <c r="B12" s="28" t="s">
        <v>36</v>
      </c>
      <c r="C12" s="29" t="s">
        <v>37</v>
      </c>
      <c r="D12" s="30"/>
      <c r="E12" s="30"/>
      <c r="F12" s="30"/>
      <c r="G12" s="30"/>
    </row>
    <row r="13" spans="2:7" x14ac:dyDescent="0.35">
      <c r="B13" s="28" t="s">
        <v>38</v>
      </c>
      <c r="C13" s="29" t="s">
        <v>39</v>
      </c>
      <c r="D13" s="30"/>
      <c r="E13" s="30"/>
      <c r="F13" s="30"/>
      <c r="G13" s="30"/>
    </row>
    <row r="14" spans="2:7" x14ac:dyDescent="0.35">
      <c r="B14" s="28" t="s">
        <v>40</v>
      </c>
      <c r="C14" s="29" t="s">
        <v>41</v>
      </c>
      <c r="D14" s="30"/>
      <c r="E14" s="30"/>
      <c r="F14" s="30"/>
      <c r="G14" s="30"/>
    </row>
    <row r="15" spans="2:7" x14ac:dyDescent="0.35"/>
    <row r="16" spans="2:7" x14ac:dyDescent="0.35"/>
  </sheetData>
  <mergeCells count="13">
    <mergeCell ref="B1:G1"/>
    <mergeCell ref="C11:G11"/>
    <mergeCell ref="C3:G3"/>
    <mergeCell ref="C5:G5"/>
    <mergeCell ref="C14:G14"/>
    <mergeCell ref="C8:G8"/>
    <mergeCell ref="C9:G9"/>
    <mergeCell ref="C13:G13"/>
    <mergeCell ref="C4:G4"/>
    <mergeCell ref="C12:G12"/>
    <mergeCell ref="C7:G7"/>
    <mergeCell ref="C6:G6"/>
    <mergeCell ref="C10:G10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3"/>
  <sheetViews>
    <sheetView showGridLines="0" zoomScale="62" workbookViewId="0">
      <pane ySplit="1" topLeftCell="A2" activePane="bottomLeft" state="frozen"/>
      <selection pane="bottomLeft" activeCell="D11" sqref="D11"/>
    </sheetView>
  </sheetViews>
  <sheetFormatPr defaultColWidth="0" defaultRowHeight="14.5" zeroHeight="1" x14ac:dyDescent="0.35"/>
  <cols>
    <col min="1" max="1" width="4" customWidth="1"/>
    <col min="2" max="2" width="12" customWidth="1"/>
    <col min="3" max="3" width="38" customWidth="1"/>
    <col min="4" max="4" width="60" customWidth="1"/>
    <col min="5" max="5" width="4" customWidth="1"/>
    <col min="6" max="16384" width="8.7265625" hidden="1"/>
  </cols>
  <sheetData>
    <row r="1" spans="2:4" ht="30" customHeight="1" x14ac:dyDescent="0.35">
      <c r="B1" s="23" t="s">
        <v>42</v>
      </c>
      <c r="C1" s="20"/>
      <c r="D1" s="20"/>
    </row>
    <row r="2" spans="2:4" x14ac:dyDescent="0.35"/>
    <row r="3" spans="2:4" x14ac:dyDescent="0.35">
      <c r="B3" s="3" t="s">
        <v>43</v>
      </c>
      <c r="C3" s="3" t="s">
        <v>44</v>
      </c>
      <c r="D3" s="3" t="s">
        <v>45</v>
      </c>
    </row>
    <row r="4" spans="2:4" x14ac:dyDescent="0.35">
      <c r="B4" s="4" t="s">
        <v>46</v>
      </c>
      <c r="C4" s="4" t="s">
        <v>47</v>
      </c>
      <c r="D4" s="4" t="s">
        <v>48</v>
      </c>
    </row>
    <row r="5" spans="2:4" x14ac:dyDescent="0.35">
      <c r="B5" s="5" t="s">
        <v>49</v>
      </c>
      <c r="C5" s="5" t="s">
        <v>50</v>
      </c>
      <c r="D5" s="5" t="s">
        <v>51</v>
      </c>
    </row>
    <row r="6" spans="2:4" x14ac:dyDescent="0.35">
      <c r="B6" s="6" t="s">
        <v>52</v>
      </c>
      <c r="C6" s="6" t="s">
        <v>53</v>
      </c>
      <c r="D6" s="6" t="s">
        <v>54</v>
      </c>
    </row>
    <row r="7" spans="2:4" x14ac:dyDescent="0.35">
      <c r="B7" s="6" t="s">
        <v>55</v>
      </c>
      <c r="C7" s="6" t="s">
        <v>56</v>
      </c>
      <c r="D7" s="6" t="s">
        <v>57</v>
      </c>
    </row>
    <row r="8" spans="2:4" x14ac:dyDescent="0.35">
      <c r="B8" s="5" t="s">
        <v>58</v>
      </c>
      <c r="C8" s="5" t="s">
        <v>59</v>
      </c>
      <c r="D8" s="5" t="s">
        <v>60</v>
      </c>
    </row>
    <row r="9" spans="2:4" x14ac:dyDescent="0.35">
      <c r="B9" s="6" t="s">
        <v>61</v>
      </c>
      <c r="C9" s="6" t="s">
        <v>62</v>
      </c>
      <c r="D9" s="6" t="s">
        <v>63</v>
      </c>
    </row>
    <row r="10" spans="2:4" x14ac:dyDescent="0.35">
      <c r="B10" s="6" t="s">
        <v>64</v>
      </c>
      <c r="C10" s="6" t="s">
        <v>65</v>
      </c>
      <c r="D10" s="6" t="s">
        <v>66</v>
      </c>
    </row>
    <row r="11" spans="2:4" x14ac:dyDescent="0.35">
      <c r="B11" s="6" t="s">
        <v>67</v>
      </c>
      <c r="C11" s="6" t="s">
        <v>68</v>
      </c>
      <c r="D11" s="6" t="s">
        <v>69</v>
      </c>
    </row>
    <row r="12" spans="2:4" x14ac:dyDescent="0.35">
      <c r="B12" s="6" t="s">
        <v>70</v>
      </c>
      <c r="C12" s="6" t="s">
        <v>71</v>
      </c>
      <c r="D12" s="6" t="s">
        <v>72</v>
      </c>
    </row>
    <row r="13" spans="2:4" x14ac:dyDescent="0.35">
      <c r="B13" s="5" t="s">
        <v>73</v>
      </c>
      <c r="C13" s="5" t="s">
        <v>74</v>
      </c>
      <c r="D13" s="5" t="s">
        <v>75</v>
      </c>
    </row>
    <row r="14" spans="2:4" x14ac:dyDescent="0.35">
      <c r="B14" s="6" t="s">
        <v>76</v>
      </c>
      <c r="C14" s="6" t="s">
        <v>77</v>
      </c>
      <c r="D14" s="6" t="s">
        <v>78</v>
      </c>
    </row>
    <row r="15" spans="2:4" x14ac:dyDescent="0.35">
      <c r="B15" s="6" t="s">
        <v>79</v>
      </c>
      <c r="C15" s="6" t="s">
        <v>80</v>
      </c>
      <c r="D15" s="6" t="s">
        <v>81</v>
      </c>
    </row>
    <row r="16" spans="2:4" x14ac:dyDescent="0.35">
      <c r="B16" s="5" t="s">
        <v>82</v>
      </c>
      <c r="C16" s="5" t="s">
        <v>83</v>
      </c>
      <c r="D16" s="5" t="s">
        <v>84</v>
      </c>
    </row>
    <row r="17" spans="2:4" x14ac:dyDescent="0.35">
      <c r="B17" s="6" t="s">
        <v>85</v>
      </c>
      <c r="C17" s="6" t="s">
        <v>86</v>
      </c>
      <c r="D17" s="6" t="s">
        <v>87</v>
      </c>
    </row>
    <row r="18" spans="2:4" x14ac:dyDescent="0.35">
      <c r="B18" s="6" t="s">
        <v>88</v>
      </c>
      <c r="C18" s="6" t="s">
        <v>89</v>
      </c>
      <c r="D18" s="6" t="s">
        <v>90</v>
      </c>
    </row>
    <row r="19" spans="2:4" x14ac:dyDescent="0.35">
      <c r="B19" s="6" t="s">
        <v>91</v>
      </c>
      <c r="C19" s="6" t="s">
        <v>92</v>
      </c>
      <c r="D19" s="6" t="s">
        <v>93</v>
      </c>
    </row>
    <row r="20" spans="2:4" x14ac:dyDescent="0.35">
      <c r="B20" s="6" t="s">
        <v>94</v>
      </c>
      <c r="C20" s="6" t="s">
        <v>95</v>
      </c>
      <c r="D20" s="6" t="s">
        <v>96</v>
      </c>
    </row>
    <row r="21" spans="2:4" x14ac:dyDescent="0.35">
      <c r="B21" s="6" t="s">
        <v>97</v>
      </c>
      <c r="C21" s="6" t="s">
        <v>98</v>
      </c>
      <c r="D21" s="6" t="s">
        <v>99</v>
      </c>
    </row>
    <row r="22" spans="2:4" x14ac:dyDescent="0.35">
      <c r="B22" s="6" t="s">
        <v>100</v>
      </c>
      <c r="C22" s="6" t="s">
        <v>101</v>
      </c>
      <c r="D22" s="6" t="s">
        <v>102</v>
      </c>
    </row>
    <row r="23" spans="2:4" x14ac:dyDescent="0.35">
      <c r="B23" s="6" t="s">
        <v>103</v>
      </c>
      <c r="C23" s="6" t="s">
        <v>104</v>
      </c>
      <c r="D23" s="6" t="s">
        <v>105</v>
      </c>
    </row>
    <row r="24" spans="2:4" x14ac:dyDescent="0.35">
      <c r="B24" s="5" t="s">
        <v>106</v>
      </c>
      <c r="C24" s="5" t="s">
        <v>107</v>
      </c>
      <c r="D24" s="5" t="s">
        <v>108</v>
      </c>
    </row>
    <row r="25" spans="2:4" x14ac:dyDescent="0.35">
      <c r="B25" s="6" t="s">
        <v>109</v>
      </c>
      <c r="C25" s="6" t="s">
        <v>111</v>
      </c>
      <c r="D25" s="6" t="s">
        <v>112</v>
      </c>
    </row>
    <row r="26" spans="2:4" x14ac:dyDescent="0.35">
      <c r="B26" s="6" t="s">
        <v>110</v>
      </c>
      <c r="C26" s="6" t="s">
        <v>114</v>
      </c>
      <c r="D26" s="6" t="s">
        <v>115</v>
      </c>
    </row>
    <row r="27" spans="2:4" x14ac:dyDescent="0.35">
      <c r="B27" s="6" t="s">
        <v>113</v>
      </c>
      <c r="C27" s="6" t="s">
        <v>116</v>
      </c>
      <c r="D27" s="6" t="s">
        <v>117</v>
      </c>
    </row>
    <row r="28" spans="2:4" x14ac:dyDescent="0.35">
      <c r="B28" s="5" t="s">
        <v>118</v>
      </c>
      <c r="C28" s="5" t="s">
        <v>119</v>
      </c>
      <c r="D28" s="5" t="s">
        <v>120</v>
      </c>
    </row>
    <row r="29" spans="2:4" x14ac:dyDescent="0.35">
      <c r="B29" s="6" t="s">
        <v>121</v>
      </c>
      <c r="C29" s="6" t="s">
        <v>122</v>
      </c>
      <c r="D29" s="6" t="s">
        <v>123</v>
      </c>
    </row>
    <row r="30" spans="2:4" x14ac:dyDescent="0.35">
      <c r="B30" s="6" t="s">
        <v>124</v>
      </c>
      <c r="C30" s="6" t="s">
        <v>125</v>
      </c>
      <c r="D30" s="6" t="s">
        <v>126</v>
      </c>
    </row>
    <row r="31" spans="2:4" x14ac:dyDescent="0.35">
      <c r="B31" s="6" t="s">
        <v>127</v>
      </c>
      <c r="C31" s="6" t="s">
        <v>128</v>
      </c>
      <c r="D31" s="6" t="s">
        <v>129</v>
      </c>
    </row>
    <row r="32" spans="2:4" x14ac:dyDescent="0.35"/>
    <row r="33" x14ac:dyDescent="0.35"/>
  </sheetData>
  <autoFilter ref="B3:D31" xr:uid="{00000000-0009-0000-0000-000002000000}"/>
  <mergeCells count="1">
    <mergeCell ref="B1:D1"/>
  </mergeCell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9"/>
  <sheetViews>
    <sheetView showGridLines="0" zoomScale="99" workbookViewId="0">
      <pane ySplit="1" topLeftCell="A2" activePane="bottomLeft" state="frozen"/>
      <selection pane="bottomLeft" activeCell="A20" sqref="A20:XFD1048576"/>
    </sheetView>
  </sheetViews>
  <sheetFormatPr defaultColWidth="0" defaultRowHeight="14.5" zeroHeight="1" x14ac:dyDescent="0.35"/>
  <cols>
    <col min="1" max="1" width="2.26953125" customWidth="1"/>
    <col min="2" max="2" width="8" customWidth="1"/>
    <col min="3" max="3" width="30" customWidth="1"/>
    <col min="4" max="4" width="18" customWidth="1"/>
    <col min="5" max="5" width="55" customWidth="1"/>
    <col min="6" max="6" width="16" customWidth="1"/>
    <col min="7" max="7" width="14" customWidth="1"/>
    <col min="8" max="8" width="45" customWidth="1"/>
    <col min="9" max="9" width="2.7265625" customWidth="1"/>
    <col min="10" max="16384" width="8.7265625" hidden="1"/>
  </cols>
  <sheetData>
    <row r="1" spans="2:8" ht="30" customHeight="1" x14ac:dyDescent="0.35">
      <c r="B1" s="23" t="s">
        <v>130</v>
      </c>
      <c r="C1" s="20"/>
      <c r="D1" s="20"/>
      <c r="E1" s="20"/>
      <c r="F1" s="20"/>
      <c r="G1" s="20"/>
      <c r="H1" s="20"/>
    </row>
    <row r="2" spans="2:8" x14ac:dyDescent="0.35"/>
    <row r="3" spans="2:8" x14ac:dyDescent="0.35">
      <c r="B3" s="3" t="s">
        <v>131</v>
      </c>
      <c r="C3" s="3" t="s">
        <v>132</v>
      </c>
      <c r="D3" s="3" t="s">
        <v>133</v>
      </c>
      <c r="E3" s="3" t="s">
        <v>45</v>
      </c>
      <c r="F3" s="3" t="s">
        <v>134</v>
      </c>
      <c r="G3" s="3" t="s">
        <v>135</v>
      </c>
      <c r="H3" s="3" t="s">
        <v>136</v>
      </c>
    </row>
    <row r="4" spans="2:8" ht="23.5" customHeight="1" x14ac:dyDescent="0.35">
      <c r="B4" s="31">
        <v>1</v>
      </c>
      <c r="C4" s="9" t="s">
        <v>137</v>
      </c>
      <c r="D4" s="9" t="s">
        <v>133</v>
      </c>
      <c r="E4" s="9" t="s">
        <v>138</v>
      </c>
      <c r="F4" s="9" t="s">
        <v>139</v>
      </c>
      <c r="G4" s="9" t="s">
        <v>140</v>
      </c>
      <c r="H4" s="9" t="s">
        <v>141</v>
      </c>
    </row>
    <row r="5" spans="2:8" ht="23.5" customHeight="1" x14ac:dyDescent="0.35">
      <c r="B5" s="31">
        <v>2</v>
      </c>
      <c r="C5" s="9" t="s">
        <v>89</v>
      </c>
      <c r="D5" s="9" t="s">
        <v>133</v>
      </c>
      <c r="E5" s="9" t="s">
        <v>142</v>
      </c>
      <c r="F5" s="9" t="s">
        <v>139</v>
      </c>
      <c r="G5" s="9" t="s">
        <v>140</v>
      </c>
      <c r="H5" s="9" t="s">
        <v>141</v>
      </c>
    </row>
    <row r="6" spans="2:8" ht="23.5" customHeight="1" x14ac:dyDescent="0.35">
      <c r="B6" s="31">
        <v>3</v>
      </c>
      <c r="C6" s="9" t="s">
        <v>92</v>
      </c>
      <c r="D6" s="9" t="s">
        <v>133</v>
      </c>
      <c r="E6" s="9" t="s">
        <v>143</v>
      </c>
      <c r="F6" s="9" t="s">
        <v>139</v>
      </c>
      <c r="G6" s="9" t="s">
        <v>140</v>
      </c>
      <c r="H6" s="9" t="s">
        <v>141</v>
      </c>
    </row>
    <row r="7" spans="2:8" ht="23.5" customHeight="1" x14ac:dyDescent="0.35">
      <c r="B7" s="31">
        <v>4</v>
      </c>
      <c r="C7" s="9" t="s">
        <v>144</v>
      </c>
      <c r="D7" s="9" t="s">
        <v>133</v>
      </c>
      <c r="E7" s="9" t="s">
        <v>145</v>
      </c>
      <c r="F7" s="9" t="s">
        <v>139</v>
      </c>
      <c r="G7" s="9" t="s">
        <v>140</v>
      </c>
      <c r="H7" s="9" t="s">
        <v>141</v>
      </c>
    </row>
    <row r="8" spans="2:8" ht="23.5" customHeight="1" x14ac:dyDescent="0.35">
      <c r="B8" s="31">
        <v>5</v>
      </c>
      <c r="C8" s="9" t="s">
        <v>146</v>
      </c>
      <c r="D8" s="9" t="s">
        <v>133</v>
      </c>
      <c r="E8" s="9" t="s">
        <v>147</v>
      </c>
      <c r="F8" s="9" t="s">
        <v>139</v>
      </c>
      <c r="G8" s="9" t="s">
        <v>140</v>
      </c>
      <c r="H8" s="9" t="s">
        <v>141</v>
      </c>
    </row>
    <row r="9" spans="2:8" ht="23.5" customHeight="1" x14ac:dyDescent="0.35">
      <c r="B9" s="31">
        <v>6</v>
      </c>
      <c r="C9" s="9" t="s">
        <v>148</v>
      </c>
      <c r="D9" s="9" t="s">
        <v>133</v>
      </c>
      <c r="E9" s="9" t="s">
        <v>149</v>
      </c>
      <c r="F9" s="9" t="s">
        <v>139</v>
      </c>
      <c r="G9" s="9" t="s">
        <v>140</v>
      </c>
      <c r="H9" s="9" t="s">
        <v>141</v>
      </c>
    </row>
    <row r="10" spans="2:8" ht="23.5" customHeight="1" x14ac:dyDescent="0.35">
      <c r="B10" s="31">
        <v>7</v>
      </c>
      <c r="C10" s="9" t="s">
        <v>150</v>
      </c>
      <c r="D10" s="9" t="s">
        <v>133</v>
      </c>
      <c r="E10" s="9" t="s">
        <v>151</v>
      </c>
      <c r="F10" s="9" t="s">
        <v>152</v>
      </c>
      <c r="G10" s="9" t="s">
        <v>153</v>
      </c>
      <c r="H10" s="9" t="s">
        <v>154</v>
      </c>
    </row>
    <row r="11" spans="2:8" ht="23.5" customHeight="1" x14ac:dyDescent="0.35">
      <c r="B11" s="31">
        <v>8</v>
      </c>
      <c r="C11" s="9" t="s">
        <v>155</v>
      </c>
      <c r="D11" s="9" t="s">
        <v>133</v>
      </c>
      <c r="E11" s="9" t="s">
        <v>156</v>
      </c>
      <c r="F11" s="9" t="s">
        <v>152</v>
      </c>
      <c r="G11" s="9" t="s">
        <v>153</v>
      </c>
      <c r="H11" s="9" t="s">
        <v>154</v>
      </c>
    </row>
    <row r="12" spans="2:8" ht="23.5" customHeight="1" x14ac:dyDescent="0.35">
      <c r="B12" s="31">
        <v>9</v>
      </c>
      <c r="C12" s="9" t="s">
        <v>157</v>
      </c>
      <c r="D12" s="9" t="s">
        <v>133</v>
      </c>
      <c r="E12" s="9" t="s">
        <v>158</v>
      </c>
      <c r="F12" s="9" t="s">
        <v>152</v>
      </c>
      <c r="G12" s="9" t="s">
        <v>153</v>
      </c>
      <c r="H12" s="9" t="s">
        <v>154</v>
      </c>
    </row>
    <row r="13" spans="2:8" ht="23.5" customHeight="1" x14ac:dyDescent="0.35">
      <c r="B13" s="31">
        <v>10</v>
      </c>
      <c r="C13" s="9" t="s">
        <v>159</v>
      </c>
      <c r="D13" s="9" t="s">
        <v>133</v>
      </c>
      <c r="E13" s="9" t="s">
        <v>160</v>
      </c>
      <c r="F13" s="9" t="s">
        <v>161</v>
      </c>
      <c r="G13" s="9" t="s">
        <v>162</v>
      </c>
      <c r="H13" s="9" t="s">
        <v>154</v>
      </c>
    </row>
    <row r="14" spans="2:8" ht="23.5" customHeight="1" x14ac:dyDescent="0.35">
      <c r="B14" s="31">
        <v>11</v>
      </c>
      <c r="C14" s="9" t="s">
        <v>163</v>
      </c>
      <c r="D14" s="9" t="s">
        <v>164</v>
      </c>
      <c r="E14" s="9" t="s">
        <v>165</v>
      </c>
      <c r="F14" s="9" t="s">
        <v>139</v>
      </c>
      <c r="G14" s="9" t="s">
        <v>140</v>
      </c>
      <c r="H14" s="9" t="s">
        <v>141</v>
      </c>
    </row>
    <row r="15" spans="2:8" ht="23.5" customHeight="1" x14ac:dyDescent="0.35">
      <c r="B15" s="31">
        <v>12</v>
      </c>
      <c r="C15" s="9" t="s">
        <v>166</v>
      </c>
      <c r="D15" s="9" t="s">
        <v>164</v>
      </c>
      <c r="E15" s="9" t="s">
        <v>167</v>
      </c>
      <c r="F15" s="9" t="s">
        <v>139</v>
      </c>
      <c r="G15" s="9" t="s">
        <v>140</v>
      </c>
      <c r="H15" s="9" t="s">
        <v>141</v>
      </c>
    </row>
    <row r="16" spans="2:8" ht="23.5" customHeight="1" x14ac:dyDescent="0.35">
      <c r="B16" s="31">
        <v>13</v>
      </c>
      <c r="C16" s="9" t="s">
        <v>168</v>
      </c>
      <c r="D16" s="9" t="s">
        <v>164</v>
      </c>
      <c r="E16" s="9" t="s">
        <v>169</v>
      </c>
      <c r="F16" s="9" t="s">
        <v>139</v>
      </c>
      <c r="G16" s="9" t="s">
        <v>140</v>
      </c>
      <c r="H16" s="9" t="s">
        <v>141</v>
      </c>
    </row>
    <row r="17" spans="2:8" ht="23.5" customHeight="1" x14ac:dyDescent="0.35">
      <c r="B17" s="31">
        <v>14</v>
      </c>
      <c r="C17" s="9" t="s">
        <v>116</v>
      </c>
      <c r="D17" s="9" t="s">
        <v>170</v>
      </c>
      <c r="E17" s="9" t="s">
        <v>171</v>
      </c>
      <c r="F17" s="9" t="s">
        <v>152</v>
      </c>
      <c r="G17" s="9" t="s">
        <v>153</v>
      </c>
      <c r="H17" s="9" t="s">
        <v>154</v>
      </c>
    </row>
    <row r="18" spans="2:8" x14ac:dyDescent="0.35"/>
    <row r="19" spans="2:8" x14ac:dyDescent="0.35"/>
  </sheetData>
  <autoFilter ref="B3:H17" xr:uid="{00000000-0009-0000-0000-000003000000}"/>
  <mergeCells count="1">
    <mergeCell ref="B1:H1"/>
  </mergeCells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3"/>
  <sheetViews>
    <sheetView showGridLines="0" zoomScale="60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30.1796875" bestFit="1" customWidth="1"/>
    <col min="2" max="2" width="22" bestFit="1" customWidth="1"/>
    <col min="3" max="3" width="22.7265625" bestFit="1" customWidth="1"/>
    <col min="4" max="4" width="27.08984375" bestFit="1" customWidth="1"/>
    <col min="5" max="5" width="25.1796875" bestFit="1" customWidth="1"/>
    <col min="6" max="6" width="40.1796875" style="32" bestFit="1" customWidth="1"/>
    <col min="7" max="7" width="52.08984375" style="32" bestFit="1" customWidth="1"/>
    <col min="8" max="8" width="40.1796875" style="32" bestFit="1" customWidth="1"/>
    <col min="9" max="9" width="52.08984375" style="32" bestFit="1" customWidth="1"/>
    <col min="10" max="10" width="51.26953125" style="32" bestFit="1" customWidth="1"/>
    <col min="11" max="11" width="46.6328125" style="32" bestFit="1" customWidth="1"/>
  </cols>
  <sheetData>
    <row r="1" spans="1:11" ht="30" customHeight="1" x14ac:dyDescent="0.35">
      <c r="A1" s="23" t="s">
        <v>172</v>
      </c>
      <c r="B1" s="20"/>
      <c r="C1" s="20"/>
      <c r="D1" s="20"/>
      <c r="E1" s="20"/>
      <c r="F1" s="20"/>
    </row>
    <row r="3" spans="1:11" x14ac:dyDescent="0.35">
      <c r="A3" s="7" t="s">
        <v>173</v>
      </c>
      <c r="B3" s="7" t="s">
        <v>16</v>
      </c>
      <c r="C3" s="7" t="s">
        <v>217</v>
      </c>
      <c r="D3" s="7" t="s">
        <v>18</v>
      </c>
      <c r="E3" s="7" t="s">
        <v>19</v>
      </c>
      <c r="F3" s="33" t="s">
        <v>221</v>
      </c>
      <c r="G3" s="33" t="s">
        <v>222</v>
      </c>
      <c r="H3" s="33" t="s">
        <v>223</v>
      </c>
      <c r="I3" s="33" t="s">
        <v>224</v>
      </c>
      <c r="J3" s="33" t="s">
        <v>225</v>
      </c>
      <c r="K3" s="33" t="s">
        <v>231</v>
      </c>
    </row>
    <row r="4" spans="1:11" x14ac:dyDescent="0.35">
      <c r="A4" s="7"/>
      <c r="B4" s="7" t="str">
        <f>_xlfn.XLOOKUP(B3,Capa!$A$14:$A$24,Capa!$C$14:$C$24,"")</f>
        <v>Tech Lead</v>
      </c>
      <c r="C4" s="7" t="str">
        <f>_xlfn.XLOOKUP(C3,Capa!$A$14:$A$24,Capa!$C$14:$C$24,"")</f>
        <v>Analista de Dados</v>
      </c>
      <c r="D4" s="7" t="str">
        <f>_xlfn.XLOOKUP(D3,Capa!$A$14:$A$24,Capa!$C$14:$C$24,"")</f>
        <v>Gerente de Projetos</v>
      </c>
      <c r="E4" s="7" t="str">
        <f>_xlfn.XLOOKUP(E3,Capa!$A$14:$A$24,Capa!$C$14:$C$24,"")</f>
        <v>Analista de Cibersegurança</v>
      </c>
      <c r="F4" s="7" t="str">
        <f>_xlfn.XLOOKUP(F3,Capa!$A$14:$A$24,Capa!$C$14:$C$24,"")</f>
        <v>Analista de Cibersegurança</v>
      </c>
      <c r="G4" s="7" t="str">
        <f>_xlfn.XLOOKUP(G3,Capa!$A$14:$A$24,Capa!$C$14:$C$24,"")</f>
        <v>Gerente de Projetos</v>
      </c>
      <c r="H4" s="7" t="str">
        <f>_xlfn.XLOOKUP(H3,Capa!$A$14:$A$24,Capa!$C$14:$C$24,"")</f>
        <v>Gerente de Projetos</v>
      </c>
      <c r="I4" s="7" t="str">
        <f>_xlfn.XLOOKUP(I3,Capa!$A$14:$A$24,Capa!$C$14:$C$24,"")</f>
        <v>Analista PO</v>
      </c>
      <c r="J4" s="7" t="str">
        <f>_xlfn.XLOOKUP(J3,Capa!$A$14:$A$24,Capa!$C$14:$C$24,"")</f>
        <v>Analista de Dados</v>
      </c>
      <c r="K4" s="7" t="str">
        <f>_xlfn.XLOOKUP(K3,Capa!$A$14:$A$24,Capa!$C$14:$C$24,"")</f>
        <v>Analista PO</v>
      </c>
    </row>
    <row r="5" spans="1:11" ht="27.5" customHeight="1" x14ac:dyDescent="0.35">
      <c r="A5" s="8" t="s">
        <v>174</v>
      </c>
      <c r="B5" s="9" t="s">
        <v>175</v>
      </c>
      <c r="C5" s="9" t="s">
        <v>229</v>
      </c>
      <c r="D5" s="9" t="s">
        <v>178</v>
      </c>
      <c r="E5" s="9" t="s">
        <v>229</v>
      </c>
      <c r="F5" s="34" t="s">
        <v>229</v>
      </c>
      <c r="G5" s="34" t="s">
        <v>178</v>
      </c>
      <c r="H5" s="34" t="s">
        <v>178</v>
      </c>
      <c r="I5" s="34" t="s">
        <v>229</v>
      </c>
      <c r="J5" s="34" t="s">
        <v>229</v>
      </c>
      <c r="K5" s="34" t="s">
        <v>229</v>
      </c>
    </row>
    <row r="6" spans="1:11" ht="27.5" customHeight="1" x14ac:dyDescent="0.35">
      <c r="A6" s="8" t="s">
        <v>62</v>
      </c>
      <c r="B6" s="9" t="s">
        <v>228</v>
      </c>
      <c r="C6" s="9" t="s">
        <v>176</v>
      </c>
      <c r="D6" s="9" t="s">
        <v>176</v>
      </c>
      <c r="E6" s="9" t="s">
        <v>176</v>
      </c>
      <c r="F6" s="9" t="s">
        <v>176</v>
      </c>
      <c r="G6" s="9" t="s">
        <v>176</v>
      </c>
      <c r="H6" s="9" t="s">
        <v>176</v>
      </c>
      <c r="I6" s="9" t="s">
        <v>176</v>
      </c>
      <c r="J6" s="9" t="s">
        <v>176</v>
      </c>
      <c r="K6" s="9" t="s">
        <v>176</v>
      </c>
    </row>
    <row r="7" spans="1:11" ht="27.5" customHeight="1" x14ac:dyDescent="0.35">
      <c r="A7" s="8" t="s">
        <v>179</v>
      </c>
      <c r="B7" s="9" t="s">
        <v>177</v>
      </c>
      <c r="C7" s="9" t="s">
        <v>229</v>
      </c>
      <c r="D7" s="9" t="s">
        <v>178</v>
      </c>
      <c r="E7" s="9" t="s">
        <v>229</v>
      </c>
      <c r="F7" s="34" t="s">
        <v>229</v>
      </c>
      <c r="G7" s="34" t="s">
        <v>178</v>
      </c>
      <c r="H7" s="34" t="s">
        <v>178</v>
      </c>
      <c r="I7" s="34" t="s">
        <v>229</v>
      </c>
      <c r="J7" s="34" t="s">
        <v>229</v>
      </c>
      <c r="K7" s="34" t="s">
        <v>229</v>
      </c>
    </row>
    <row r="8" spans="1:11" ht="27.5" customHeight="1" x14ac:dyDescent="0.35">
      <c r="A8" s="8" t="s">
        <v>68</v>
      </c>
      <c r="B8" s="9" t="s">
        <v>175</v>
      </c>
      <c r="C8" s="9" t="s">
        <v>229</v>
      </c>
      <c r="D8" s="9" t="s">
        <v>229</v>
      </c>
      <c r="E8" s="9" t="s">
        <v>229</v>
      </c>
      <c r="F8" s="9" t="s">
        <v>229</v>
      </c>
      <c r="G8" s="9" t="s">
        <v>229</v>
      </c>
      <c r="H8" s="9" t="s">
        <v>229</v>
      </c>
      <c r="I8" s="9" t="s">
        <v>229</v>
      </c>
      <c r="J8" s="9" t="s">
        <v>229</v>
      </c>
      <c r="K8" s="9" t="s">
        <v>229</v>
      </c>
    </row>
    <row r="9" spans="1:11" ht="27.5" customHeight="1" x14ac:dyDescent="0.35">
      <c r="A9" s="8" t="s">
        <v>180</v>
      </c>
      <c r="B9" s="9" t="s">
        <v>175</v>
      </c>
      <c r="C9" s="9" t="s">
        <v>230</v>
      </c>
      <c r="D9" s="9" t="s">
        <v>229</v>
      </c>
      <c r="E9" s="9" t="s">
        <v>176</v>
      </c>
      <c r="F9" s="34" t="s">
        <v>176</v>
      </c>
      <c r="G9" s="34" t="s">
        <v>229</v>
      </c>
      <c r="H9" s="34" t="s">
        <v>229</v>
      </c>
      <c r="I9" s="34" t="s">
        <v>176</v>
      </c>
      <c r="J9" s="9" t="s">
        <v>230</v>
      </c>
      <c r="K9" s="34" t="s">
        <v>176</v>
      </c>
    </row>
    <row r="10" spans="1:11" ht="27.5" customHeight="1" x14ac:dyDescent="0.35">
      <c r="A10" s="8" t="s">
        <v>86</v>
      </c>
      <c r="B10" s="9" t="s">
        <v>175</v>
      </c>
      <c r="C10" s="9" t="s">
        <v>176</v>
      </c>
      <c r="D10" s="9" t="s">
        <v>229</v>
      </c>
      <c r="E10" s="9" t="s">
        <v>176</v>
      </c>
      <c r="F10" s="34" t="s">
        <v>176</v>
      </c>
      <c r="G10" s="34" t="s">
        <v>229</v>
      </c>
      <c r="H10" s="34" t="s">
        <v>229</v>
      </c>
      <c r="I10" s="34" t="s">
        <v>229</v>
      </c>
      <c r="J10" s="34" t="s">
        <v>176</v>
      </c>
      <c r="K10" s="34" t="s">
        <v>229</v>
      </c>
    </row>
    <row r="11" spans="1:11" ht="27.5" customHeight="1" x14ac:dyDescent="0.35">
      <c r="A11" s="8" t="s">
        <v>181</v>
      </c>
      <c r="B11" s="9" t="s">
        <v>175</v>
      </c>
      <c r="C11" s="9" t="s">
        <v>176</v>
      </c>
      <c r="D11" s="9" t="s">
        <v>229</v>
      </c>
      <c r="E11" s="9" t="s">
        <v>229</v>
      </c>
      <c r="F11" s="34" t="s">
        <v>229</v>
      </c>
      <c r="G11" s="34" t="s">
        <v>229</v>
      </c>
      <c r="H11" s="34" t="s">
        <v>229</v>
      </c>
      <c r="I11" s="34" t="s">
        <v>229</v>
      </c>
      <c r="J11" s="34" t="s">
        <v>176</v>
      </c>
      <c r="K11" s="34" t="s">
        <v>229</v>
      </c>
    </row>
    <row r="12" spans="1:11" ht="27.5" customHeight="1" x14ac:dyDescent="0.35">
      <c r="A12" s="8" t="s">
        <v>182</v>
      </c>
      <c r="B12" s="9" t="s">
        <v>175</v>
      </c>
      <c r="C12" s="9" t="s">
        <v>176</v>
      </c>
      <c r="D12" s="9" t="s">
        <v>229</v>
      </c>
      <c r="E12" s="9" t="s">
        <v>229</v>
      </c>
      <c r="F12" s="34" t="s">
        <v>229</v>
      </c>
      <c r="G12" s="34" t="s">
        <v>229</v>
      </c>
      <c r="H12" s="34" t="s">
        <v>229</v>
      </c>
      <c r="I12" s="34" t="s">
        <v>229</v>
      </c>
      <c r="J12" s="34" t="s">
        <v>176</v>
      </c>
      <c r="K12" s="34" t="s">
        <v>229</v>
      </c>
    </row>
    <row r="13" spans="1:11" ht="27.5" customHeight="1" x14ac:dyDescent="0.35">
      <c r="A13" s="8" t="s">
        <v>101</v>
      </c>
      <c r="B13" s="9" t="s">
        <v>177</v>
      </c>
      <c r="C13" s="9" t="s">
        <v>178</v>
      </c>
      <c r="D13" s="9" t="s">
        <v>229</v>
      </c>
      <c r="E13" s="9" t="s">
        <v>229</v>
      </c>
      <c r="F13" s="34" t="s">
        <v>229</v>
      </c>
      <c r="G13" s="34" t="s">
        <v>229</v>
      </c>
      <c r="H13" s="34" t="s">
        <v>229</v>
      </c>
      <c r="I13" s="34" t="s">
        <v>229</v>
      </c>
      <c r="J13" s="34" t="s">
        <v>178</v>
      </c>
      <c r="K13" s="34" t="s">
        <v>229</v>
      </c>
    </row>
    <row r="14" spans="1:11" ht="27.5" customHeight="1" x14ac:dyDescent="0.35">
      <c r="A14" s="8" t="s">
        <v>183</v>
      </c>
      <c r="B14" s="9" t="s">
        <v>177</v>
      </c>
      <c r="C14" s="9" t="s">
        <v>229</v>
      </c>
      <c r="D14" s="9" t="s">
        <v>229</v>
      </c>
      <c r="E14" s="9" t="s">
        <v>178</v>
      </c>
      <c r="F14" s="34" t="s">
        <v>178</v>
      </c>
      <c r="G14" s="34" t="s">
        <v>229</v>
      </c>
      <c r="H14" s="34" t="s">
        <v>229</v>
      </c>
      <c r="I14" s="34" t="s">
        <v>229</v>
      </c>
      <c r="J14" s="34" t="s">
        <v>229</v>
      </c>
      <c r="K14" s="34" t="s">
        <v>229</v>
      </c>
    </row>
    <row r="15" spans="1:11" ht="27.5" customHeight="1" x14ac:dyDescent="0.35">
      <c r="A15" s="8" t="s">
        <v>111</v>
      </c>
      <c r="B15" s="9" t="s">
        <v>175</v>
      </c>
      <c r="C15" s="9" t="s">
        <v>178</v>
      </c>
      <c r="D15" s="9" t="s">
        <v>229</v>
      </c>
      <c r="E15" s="9" t="s">
        <v>178</v>
      </c>
      <c r="F15" s="34" t="s">
        <v>178</v>
      </c>
      <c r="G15" s="34" t="s">
        <v>229</v>
      </c>
      <c r="H15" s="34" t="s">
        <v>229</v>
      </c>
      <c r="I15" s="34" t="s">
        <v>178</v>
      </c>
      <c r="J15" s="34" t="s">
        <v>178</v>
      </c>
      <c r="K15" s="34" t="s">
        <v>178</v>
      </c>
    </row>
    <row r="16" spans="1:11" ht="27.5" customHeight="1" x14ac:dyDescent="0.35">
      <c r="A16" s="8" t="s">
        <v>114</v>
      </c>
      <c r="B16" s="9" t="s">
        <v>177</v>
      </c>
      <c r="C16" s="9" t="s">
        <v>229</v>
      </c>
      <c r="D16" s="9" t="s">
        <v>229</v>
      </c>
      <c r="E16" s="9" t="s">
        <v>178</v>
      </c>
      <c r="F16" s="34" t="s">
        <v>178</v>
      </c>
      <c r="G16" s="34" t="s">
        <v>229</v>
      </c>
      <c r="H16" s="34" t="s">
        <v>229</v>
      </c>
      <c r="I16" s="34" t="s">
        <v>229</v>
      </c>
      <c r="J16" s="34" t="s">
        <v>229</v>
      </c>
      <c r="K16" s="34" t="s">
        <v>229</v>
      </c>
    </row>
    <row r="17" spans="1:11" ht="27.5" customHeight="1" x14ac:dyDescent="0.35">
      <c r="A17" s="8" t="s">
        <v>116</v>
      </c>
      <c r="B17" s="9" t="s">
        <v>177</v>
      </c>
      <c r="C17" s="9" t="s">
        <v>178</v>
      </c>
      <c r="D17" s="9" t="s">
        <v>178</v>
      </c>
      <c r="E17" s="9" t="s">
        <v>178</v>
      </c>
      <c r="F17" s="9" t="s">
        <v>178</v>
      </c>
      <c r="G17" s="9" t="s">
        <v>178</v>
      </c>
      <c r="H17" s="9" t="s">
        <v>178</v>
      </c>
      <c r="I17" s="9" t="s">
        <v>178</v>
      </c>
      <c r="J17" s="9" t="s">
        <v>178</v>
      </c>
      <c r="K17" s="9" t="s">
        <v>178</v>
      </c>
    </row>
    <row r="18" spans="1:11" ht="27.5" customHeight="1" x14ac:dyDescent="0.35">
      <c r="A18" s="8" t="s">
        <v>125</v>
      </c>
      <c r="B18" s="9" t="s">
        <v>177</v>
      </c>
      <c r="C18" s="9" t="s">
        <v>176</v>
      </c>
      <c r="D18" s="9" t="s">
        <v>175</v>
      </c>
      <c r="E18" s="9" t="s">
        <v>178</v>
      </c>
      <c r="F18" s="34" t="s">
        <v>175</v>
      </c>
      <c r="G18" s="9" t="s">
        <v>175</v>
      </c>
      <c r="H18" s="9" t="s">
        <v>175</v>
      </c>
      <c r="I18" s="34" t="s">
        <v>176</v>
      </c>
      <c r="J18" s="34" t="s">
        <v>176</v>
      </c>
      <c r="K18" s="34" t="s">
        <v>178</v>
      </c>
    </row>
    <row r="19" spans="1:11" ht="27.5" customHeight="1" x14ac:dyDescent="0.35">
      <c r="A19" s="8" t="s">
        <v>128</v>
      </c>
      <c r="B19" s="9" t="s">
        <v>175</v>
      </c>
      <c r="C19" s="9" t="s">
        <v>178</v>
      </c>
      <c r="D19" s="9" t="s">
        <v>178</v>
      </c>
      <c r="E19" s="9" t="s">
        <v>178</v>
      </c>
      <c r="F19" s="34" t="s">
        <v>178</v>
      </c>
      <c r="G19" s="34" t="s">
        <v>178</v>
      </c>
      <c r="H19" s="34" t="s">
        <v>178</v>
      </c>
      <c r="I19" s="34" t="s">
        <v>178</v>
      </c>
      <c r="J19" s="34" t="s">
        <v>178</v>
      </c>
      <c r="K19" s="34" t="s">
        <v>178</v>
      </c>
    </row>
    <row r="22" spans="1:11" x14ac:dyDescent="0.35">
      <c r="A22" s="10" t="s">
        <v>184</v>
      </c>
    </row>
    <row r="23" spans="1:11" x14ac:dyDescent="0.35">
      <c r="A23" s="24" t="s">
        <v>185</v>
      </c>
      <c r="B23" s="20"/>
      <c r="C23" s="20"/>
      <c r="D23" s="20"/>
      <c r="E23" s="20"/>
    </row>
  </sheetData>
  <mergeCells count="2">
    <mergeCell ref="A23:E23"/>
    <mergeCell ref="A1:F1"/>
  </mergeCells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X22"/>
  <sheetViews>
    <sheetView showGridLines="0" zoomScale="98" workbookViewId="0">
      <pane ySplit="1" topLeftCell="A2" activePane="bottomLeft" state="frozen"/>
      <selection pane="bottomLeft" activeCell="D4" sqref="D4:D22"/>
    </sheetView>
  </sheetViews>
  <sheetFormatPr defaultRowHeight="14.5" x14ac:dyDescent="0.35"/>
  <cols>
    <col min="1" max="1" width="34" customWidth="1"/>
    <col min="2" max="3" width="13" customWidth="1"/>
    <col min="4" max="4" width="14" customWidth="1"/>
    <col min="5" max="102" width="3" customWidth="1"/>
  </cols>
  <sheetData>
    <row r="1" spans="1:102" ht="30" customHeight="1" x14ac:dyDescent="0.35">
      <c r="A1" s="23" t="s">
        <v>186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3" spans="1:102" ht="29" customHeight="1" x14ac:dyDescent="0.35">
      <c r="A3" s="27" t="s">
        <v>173</v>
      </c>
      <c r="B3" s="27" t="s">
        <v>187</v>
      </c>
      <c r="C3" s="27" t="s">
        <v>188</v>
      </c>
      <c r="D3" s="27" t="s">
        <v>189</v>
      </c>
      <c r="E3" s="26">
        <v>46300</v>
      </c>
      <c r="F3" s="26">
        <v>46301</v>
      </c>
      <c r="G3" s="26">
        <v>46302</v>
      </c>
      <c r="H3" s="26">
        <v>46303</v>
      </c>
      <c r="I3" s="26">
        <v>46304</v>
      </c>
      <c r="J3" s="26">
        <v>46305</v>
      </c>
      <c r="K3" s="26">
        <v>46306</v>
      </c>
      <c r="L3" s="26">
        <v>46307</v>
      </c>
      <c r="M3" s="26">
        <v>46308</v>
      </c>
      <c r="N3" s="26">
        <v>46309</v>
      </c>
      <c r="O3" s="26">
        <v>46310</v>
      </c>
      <c r="P3" s="26">
        <v>46311</v>
      </c>
      <c r="Q3" s="26">
        <v>46312</v>
      </c>
      <c r="R3" s="26">
        <v>46313</v>
      </c>
      <c r="S3" s="26">
        <v>46314</v>
      </c>
      <c r="T3" s="26">
        <v>46315</v>
      </c>
      <c r="U3" s="26">
        <v>46316</v>
      </c>
      <c r="V3" s="26">
        <v>46317</v>
      </c>
      <c r="W3" s="26">
        <v>46318</v>
      </c>
      <c r="X3" s="26">
        <v>46319</v>
      </c>
      <c r="Y3" s="26">
        <v>46320</v>
      </c>
      <c r="Z3" s="26">
        <v>46321</v>
      </c>
      <c r="AA3" s="26">
        <v>46322</v>
      </c>
      <c r="AB3" s="26">
        <v>46323</v>
      </c>
      <c r="AC3" s="26">
        <v>46324</v>
      </c>
      <c r="AD3" s="26">
        <v>46325</v>
      </c>
      <c r="AE3" s="26">
        <v>46326</v>
      </c>
      <c r="AF3" s="26">
        <v>46327</v>
      </c>
      <c r="AG3" s="26">
        <v>46328</v>
      </c>
      <c r="AH3" s="26">
        <v>46329</v>
      </c>
      <c r="AI3" s="26">
        <v>46330</v>
      </c>
      <c r="AJ3" s="26">
        <v>46331</v>
      </c>
      <c r="AK3" s="26">
        <v>46332</v>
      </c>
      <c r="AL3" s="26">
        <v>46333</v>
      </c>
      <c r="AM3" s="26">
        <v>46334</v>
      </c>
      <c r="AN3" s="26">
        <v>46335</v>
      </c>
      <c r="AO3" s="26">
        <v>46336</v>
      </c>
      <c r="AP3" s="26">
        <v>46337</v>
      </c>
      <c r="AQ3" s="26">
        <v>46338</v>
      </c>
      <c r="AR3" s="26">
        <v>46339</v>
      </c>
      <c r="AS3" s="26">
        <v>46340</v>
      </c>
      <c r="AT3" s="26">
        <v>46341</v>
      </c>
      <c r="AU3" s="26">
        <v>46342</v>
      </c>
      <c r="AV3" s="26">
        <v>46343</v>
      </c>
      <c r="AW3" s="26">
        <v>46344</v>
      </c>
      <c r="AX3" s="26">
        <v>46345</v>
      </c>
      <c r="AY3" s="26">
        <v>46346</v>
      </c>
      <c r="AZ3" s="26">
        <v>46347</v>
      </c>
      <c r="BA3" s="26">
        <v>46348</v>
      </c>
      <c r="BB3" s="26">
        <v>46349</v>
      </c>
      <c r="BC3" s="26">
        <v>46350</v>
      </c>
      <c r="BD3" s="26">
        <v>46351</v>
      </c>
      <c r="BE3" s="26">
        <v>46352</v>
      </c>
      <c r="BF3" s="26">
        <v>46353</v>
      </c>
      <c r="BG3" s="26">
        <v>46354</v>
      </c>
      <c r="BH3" s="26">
        <v>46355</v>
      </c>
      <c r="BI3" s="26">
        <v>46356</v>
      </c>
      <c r="BJ3" s="26">
        <v>46357</v>
      </c>
      <c r="BK3" s="26">
        <v>46358</v>
      </c>
      <c r="BL3" s="26">
        <v>46359</v>
      </c>
      <c r="BM3" s="26">
        <v>46360</v>
      </c>
      <c r="BN3" s="26">
        <v>46361</v>
      </c>
      <c r="BO3" s="26">
        <v>46362</v>
      </c>
      <c r="BP3" s="26">
        <v>46363</v>
      </c>
      <c r="BQ3" s="26">
        <v>46364</v>
      </c>
      <c r="BR3" s="26">
        <v>46365</v>
      </c>
      <c r="BS3" s="26">
        <v>46366</v>
      </c>
      <c r="BT3" s="26">
        <v>46367</v>
      </c>
      <c r="BU3" s="26">
        <v>46368</v>
      </c>
      <c r="BV3" s="26">
        <v>46369</v>
      </c>
      <c r="BW3" s="26">
        <v>46370</v>
      </c>
      <c r="BX3" s="26">
        <v>46371</v>
      </c>
      <c r="BY3" s="26">
        <v>46372</v>
      </c>
      <c r="BZ3" s="26">
        <v>46373</v>
      </c>
      <c r="CA3" s="26">
        <v>46374</v>
      </c>
      <c r="CB3" s="26">
        <v>46375</v>
      </c>
      <c r="CC3" s="26">
        <v>46376</v>
      </c>
      <c r="CD3" s="26">
        <v>46377</v>
      </c>
      <c r="CE3" s="26">
        <v>46378</v>
      </c>
      <c r="CF3" s="26">
        <v>46379</v>
      </c>
      <c r="CG3" s="26">
        <v>46380</v>
      </c>
      <c r="CH3" s="26">
        <v>46381</v>
      </c>
      <c r="CI3" s="26">
        <v>46382</v>
      </c>
      <c r="CJ3" s="26">
        <v>46383</v>
      </c>
      <c r="CK3" s="26">
        <v>46384</v>
      </c>
      <c r="CL3" s="26">
        <v>46385</v>
      </c>
      <c r="CM3" s="26">
        <v>46386</v>
      </c>
      <c r="CN3" s="26">
        <v>46387</v>
      </c>
      <c r="CO3" s="26">
        <v>46388</v>
      </c>
      <c r="CP3" s="26">
        <v>46389</v>
      </c>
      <c r="CQ3" s="26">
        <v>46390</v>
      </c>
      <c r="CR3" s="26">
        <v>46391</v>
      </c>
      <c r="CS3" s="26">
        <v>46392</v>
      </c>
      <c r="CT3" s="26">
        <v>46393</v>
      </c>
      <c r="CU3" s="26">
        <v>46394</v>
      </c>
      <c r="CV3" s="26">
        <v>46395</v>
      </c>
      <c r="CW3" s="26">
        <v>46396</v>
      </c>
      <c r="CX3" s="26">
        <v>46397</v>
      </c>
    </row>
    <row r="4" spans="1:102" x14ac:dyDescent="0.35">
      <c r="A4" s="2" t="s">
        <v>190</v>
      </c>
      <c r="B4" s="12">
        <v>46239</v>
      </c>
      <c r="C4" s="12">
        <f>B4+3</f>
        <v>46242</v>
      </c>
      <c r="D4" s="2">
        <v>3</v>
      </c>
      <c r="E4" s="13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</row>
    <row r="5" spans="1:102" x14ac:dyDescent="0.35">
      <c r="A5" s="2" t="s">
        <v>62</v>
      </c>
      <c r="B5" s="12">
        <f>B4+5</f>
        <v>46244</v>
      </c>
      <c r="C5" s="12">
        <f t="shared" ref="C5:C22" si="0">B5+3</f>
        <v>46247</v>
      </c>
      <c r="D5" s="2">
        <v>3</v>
      </c>
      <c r="E5" s="14"/>
      <c r="F5" s="14"/>
      <c r="G5" s="13"/>
      <c r="H5" s="13"/>
      <c r="I5" s="13"/>
      <c r="J5" s="13"/>
      <c r="K5" s="13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</row>
    <row r="6" spans="1:102" x14ac:dyDescent="0.35">
      <c r="A6" s="2" t="s">
        <v>179</v>
      </c>
      <c r="B6" s="12">
        <f t="shared" ref="B6:B22" si="1">B5+5</f>
        <v>46249</v>
      </c>
      <c r="C6" s="12">
        <f t="shared" si="0"/>
        <v>46252</v>
      </c>
      <c r="D6" s="2">
        <v>3</v>
      </c>
      <c r="E6" s="14"/>
      <c r="F6" s="14"/>
      <c r="G6" s="14"/>
      <c r="H6" s="14"/>
      <c r="I6" s="14"/>
      <c r="J6" s="14"/>
      <c r="K6" s="14"/>
      <c r="L6" s="13"/>
      <c r="M6" s="13"/>
      <c r="N6" s="13"/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</row>
    <row r="7" spans="1:102" x14ac:dyDescent="0.35">
      <c r="A7" s="2" t="s">
        <v>68</v>
      </c>
      <c r="B7" s="12">
        <f t="shared" si="1"/>
        <v>46254</v>
      </c>
      <c r="C7" s="12">
        <f t="shared" si="0"/>
        <v>46257</v>
      </c>
      <c r="D7" s="2">
        <v>3</v>
      </c>
      <c r="E7" s="14"/>
      <c r="F7" s="14"/>
      <c r="G7" s="14"/>
      <c r="H7" s="14"/>
      <c r="I7" s="14"/>
      <c r="J7" s="14"/>
      <c r="K7" s="14"/>
      <c r="L7" s="14"/>
      <c r="M7" s="14"/>
      <c r="N7" s="13"/>
      <c r="O7" s="13"/>
      <c r="P7" s="13"/>
      <c r="Q7" s="13"/>
      <c r="R7" s="13"/>
      <c r="S7" s="13"/>
      <c r="T7" s="13"/>
      <c r="U7" s="13"/>
      <c r="V7" s="13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</row>
    <row r="8" spans="1:102" x14ac:dyDescent="0.35">
      <c r="A8" s="2" t="s">
        <v>180</v>
      </c>
      <c r="B8" s="12">
        <f t="shared" si="1"/>
        <v>46259</v>
      </c>
      <c r="C8" s="12">
        <f t="shared" si="0"/>
        <v>46262</v>
      </c>
      <c r="D8" s="2">
        <v>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</row>
    <row r="9" spans="1:102" x14ac:dyDescent="0.35">
      <c r="A9" s="2" t="s">
        <v>86</v>
      </c>
      <c r="B9" s="12">
        <f t="shared" si="1"/>
        <v>46264</v>
      </c>
      <c r="C9" s="12">
        <f t="shared" si="0"/>
        <v>46267</v>
      </c>
      <c r="D9" s="2">
        <v>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</row>
    <row r="10" spans="1:102" x14ac:dyDescent="0.35">
      <c r="A10" s="2" t="s">
        <v>89</v>
      </c>
      <c r="B10" s="12">
        <f t="shared" si="1"/>
        <v>46269</v>
      </c>
      <c r="C10" s="12">
        <f t="shared" si="0"/>
        <v>46272</v>
      </c>
      <c r="D10" s="2">
        <v>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</row>
    <row r="11" spans="1:102" x14ac:dyDescent="0.35">
      <c r="A11" s="2" t="s">
        <v>92</v>
      </c>
      <c r="B11" s="12">
        <f t="shared" si="1"/>
        <v>46274</v>
      </c>
      <c r="C11" s="12">
        <f t="shared" si="0"/>
        <v>46277</v>
      </c>
      <c r="D11" s="2">
        <v>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</row>
    <row r="12" spans="1:102" x14ac:dyDescent="0.35">
      <c r="A12" s="2" t="s">
        <v>95</v>
      </c>
      <c r="B12" s="12">
        <f t="shared" si="1"/>
        <v>46279</v>
      </c>
      <c r="C12" s="12">
        <f t="shared" si="0"/>
        <v>46282</v>
      </c>
      <c r="D12" s="2">
        <v>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</row>
    <row r="13" spans="1:102" x14ac:dyDescent="0.35">
      <c r="A13" s="2" t="s">
        <v>146</v>
      </c>
      <c r="B13" s="12">
        <f t="shared" si="1"/>
        <v>46284</v>
      </c>
      <c r="C13" s="12">
        <f t="shared" si="0"/>
        <v>46287</v>
      </c>
      <c r="D13" s="2">
        <v>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</row>
    <row r="14" spans="1:102" x14ac:dyDescent="0.35">
      <c r="A14" s="2" t="s">
        <v>101</v>
      </c>
      <c r="B14" s="12">
        <f t="shared" si="1"/>
        <v>46289</v>
      </c>
      <c r="C14" s="12">
        <f t="shared" si="0"/>
        <v>46292</v>
      </c>
      <c r="D14" s="2">
        <v>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</row>
    <row r="15" spans="1:102" x14ac:dyDescent="0.35">
      <c r="A15" s="2" t="s">
        <v>104</v>
      </c>
      <c r="B15" s="12">
        <f t="shared" si="1"/>
        <v>46294</v>
      </c>
      <c r="C15" s="12">
        <f t="shared" si="0"/>
        <v>46297</v>
      </c>
      <c r="D15" s="2">
        <v>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</row>
    <row r="16" spans="1:102" x14ac:dyDescent="0.35">
      <c r="A16" s="2" t="s">
        <v>191</v>
      </c>
      <c r="B16" s="12">
        <f t="shared" si="1"/>
        <v>46299</v>
      </c>
      <c r="C16" s="12">
        <f t="shared" si="0"/>
        <v>46302</v>
      </c>
      <c r="D16" s="2">
        <v>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</row>
    <row r="17" spans="1:102" x14ac:dyDescent="0.35">
      <c r="A17" s="2" t="s">
        <v>111</v>
      </c>
      <c r="B17" s="12">
        <f t="shared" si="1"/>
        <v>46304</v>
      </c>
      <c r="C17" s="12">
        <f t="shared" si="0"/>
        <v>46307</v>
      </c>
      <c r="D17" s="2">
        <v>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</row>
    <row r="18" spans="1:102" x14ac:dyDescent="0.35">
      <c r="A18" s="2" t="s">
        <v>114</v>
      </c>
      <c r="B18" s="12">
        <f t="shared" si="1"/>
        <v>46309</v>
      </c>
      <c r="C18" s="12">
        <f t="shared" si="0"/>
        <v>46312</v>
      </c>
      <c r="D18" s="2">
        <v>3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3"/>
      <c r="BY18" s="13"/>
      <c r="BZ18" s="13"/>
      <c r="CA18" s="13"/>
      <c r="CB18" s="13"/>
      <c r="CC18" s="13"/>
      <c r="CD18" s="13"/>
      <c r="CE18" s="13"/>
      <c r="CF18" s="13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</row>
    <row r="19" spans="1:102" x14ac:dyDescent="0.35">
      <c r="A19" s="2" t="s">
        <v>116</v>
      </c>
      <c r="B19" s="12">
        <f t="shared" si="1"/>
        <v>46314</v>
      </c>
      <c r="C19" s="12">
        <f t="shared" si="0"/>
        <v>46317</v>
      </c>
      <c r="D19" s="2">
        <v>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3"/>
      <c r="CC19" s="13"/>
      <c r="CD19" s="13"/>
      <c r="CE19" s="13"/>
      <c r="CF19" s="13"/>
      <c r="CG19" s="13"/>
      <c r="CH19" s="13"/>
      <c r="CI19" s="13"/>
      <c r="CJ19" s="13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</row>
    <row r="20" spans="1:102" x14ac:dyDescent="0.35">
      <c r="A20" s="2" t="s">
        <v>122</v>
      </c>
      <c r="B20" s="12">
        <f t="shared" si="1"/>
        <v>46319</v>
      </c>
      <c r="C20" s="12">
        <f t="shared" si="0"/>
        <v>46322</v>
      </c>
      <c r="D20" s="2">
        <v>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3"/>
      <c r="CL20" s="13"/>
      <c r="CM20" s="13"/>
      <c r="CN20" s="13"/>
      <c r="CO20" s="13"/>
      <c r="CP20" s="13"/>
      <c r="CQ20" s="14"/>
      <c r="CR20" s="14"/>
      <c r="CS20" s="14"/>
      <c r="CT20" s="14"/>
      <c r="CU20" s="14"/>
      <c r="CV20" s="14"/>
      <c r="CW20" s="14"/>
      <c r="CX20" s="14"/>
    </row>
    <row r="21" spans="1:102" x14ac:dyDescent="0.35">
      <c r="A21" s="2" t="s">
        <v>125</v>
      </c>
      <c r="B21" s="12">
        <f t="shared" si="1"/>
        <v>46324</v>
      </c>
      <c r="C21" s="12">
        <f t="shared" si="0"/>
        <v>46327</v>
      </c>
      <c r="D21" s="2">
        <v>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3"/>
      <c r="CO21" s="13"/>
      <c r="CP21" s="13"/>
      <c r="CQ21" s="13"/>
      <c r="CR21" s="13"/>
      <c r="CS21" s="13"/>
      <c r="CT21" s="13"/>
      <c r="CU21" s="14"/>
      <c r="CV21" s="14"/>
      <c r="CW21" s="14"/>
      <c r="CX21" s="14"/>
    </row>
    <row r="22" spans="1:102" x14ac:dyDescent="0.35">
      <c r="A22" s="2" t="s">
        <v>128</v>
      </c>
      <c r="B22" s="12">
        <f t="shared" si="1"/>
        <v>46329</v>
      </c>
      <c r="C22" s="12">
        <f t="shared" si="0"/>
        <v>46332</v>
      </c>
      <c r="D22" s="2">
        <v>3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3"/>
      <c r="CV22" s="13"/>
      <c r="CW22" s="13"/>
      <c r="CX22" s="13"/>
    </row>
  </sheetData>
  <mergeCells count="1">
    <mergeCell ref="A1:T1"/>
  </mergeCells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2"/>
  <sheetViews>
    <sheetView showGridLines="0" tabSelected="1" workbookViewId="0">
      <pane ySplit="1" topLeftCell="A2" activePane="bottomLeft" state="frozen"/>
      <selection pane="bottomLeft" activeCell="E13" sqref="E13"/>
    </sheetView>
  </sheetViews>
  <sheetFormatPr defaultRowHeight="14.5" x14ac:dyDescent="0.35"/>
  <cols>
    <col min="1" max="1" width="38" customWidth="1"/>
    <col min="2" max="2" width="18" customWidth="1"/>
    <col min="3" max="4" width="20" customWidth="1"/>
    <col min="5" max="5" width="32" customWidth="1"/>
  </cols>
  <sheetData>
    <row r="1" spans="1:5" ht="30" customHeight="1" x14ac:dyDescent="0.35">
      <c r="A1" s="23" t="s">
        <v>192</v>
      </c>
      <c r="B1" s="20"/>
      <c r="C1" s="20"/>
      <c r="D1" s="20"/>
      <c r="E1" s="20"/>
    </row>
    <row r="3" spans="1:5" x14ac:dyDescent="0.35">
      <c r="A3" s="3" t="s">
        <v>193</v>
      </c>
      <c r="B3" s="3" t="s">
        <v>194</v>
      </c>
      <c r="C3" s="3" t="s">
        <v>195</v>
      </c>
      <c r="D3" s="3" t="s">
        <v>196</v>
      </c>
      <c r="E3" s="3" t="s">
        <v>197</v>
      </c>
    </row>
    <row r="4" spans="1:5" x14ac:dyDescent="0.35">
      <c r="A4" s="2" t="s">
        <v>198</v>
      </c>
      <c r="B4" s="15">
        <v>60</v>
      </c>
      <c r="C4" s="2">
        <v>50</v>
      </c>
      <c r="D4" s="15">
        <f t="shared" ref="D4:D11" si="0">B4*C4</f>
        <v>3000</v>
      </c>
      <c r="E4" s="2"/>
    </row>
    <row r="5" spans="1:5" x14ac:dyDescent="0.35">
      <c r="A5" s="2" t="s">
        <v>199</v>
      </c>
      <c r="B5" s="15">
        <v>50</v>
      </c>
      <c r="C5" s="2">
        <v>24</v>
      </c>
      <c r="D5" s="15">
        <f t="shared" si="0"/>
        <v>1200</v>
      </c>
      <c r="E5" s="2"/>
    </row>
    <row r="6" spans="1:5" x14ac:dyDescent="0.35">
      <c r="A6" s="2" t="s">
        <v>200</v>
      </c>
      <c r="B6" s="15">
        <v>80</v>
      </c>
      <c r="C6" s="2">
        <v>120</v>
      </c>
      <c r="D6" s="15">
        <f t="shared" si="0"/>
        <v>9600</v>
      </c>
      <c r="E6" s="2"/>
    </row>
    <row r="7" spans="1:5" x14ac:dyDescent="0.35">
      <c r="A7" s="2" t="s">
        <v>74</v>
      </c>
      <c r="B7" s="15">
        <v>55</v>
      </c>
      <c r="C7" s="2">
        <v>35</v>
      </c>
      <c r="D7" s="15">
        <f t="shared" si="0"/>
        <v>1925</v>
      </c>
      <c r="E7" s="2"/>
    </row>
    <row r="8" spans="1:5" x14ac:dyDescent="0.35">
      <c r="A8" s="2" t="s">
        <v>201</v>
      </c>
      <c r="B8" s="15">
        <v>55</v>
      </c>
      <c r="C8" s="2">
        <v>50</v>
      </c>
      <c r="D8" s="15">
        <f t="shared" si="0"/>
        <v>2750</v>
      </c>
      <c r="E8" s="2"/>
    </row>
    <row r="9" spans="1:5" x14ac:dyDescent="0.35">
      <c r="A9" s="2" t="s">
        <v>183</v>
      </c>
      <c r="B9" s="15">
        <v>75</v>
      </c>
      <c r="C9" s="2">
        <v>30</v>
      </c>
      <c r="D9" s="15">
        <f t="shared" si="0"/>
        <v>2250</v>
      </c>
      <c r="E9" s="2"/>
    </row>
    <row r="10" spans="1:5" x14ac:dyDescent="0.35">
      <c r="A10" s="2" t="s">
        <v>202</v>
      </c>
      <c r="B10" s="15">
        <v>45</v>
      </c>
      <c r="C10" s="2">
        <v>25</v>
      </c>
      <c r="D10" s="15">
        <f t="shared" si="0"/>
        <v>1125</v>
      </c>
      <c r="E10" s="2"/>
    </row>
    <row r="11" spans="1:5" x14ac:dyDescent="0.35">
      <c r="A11" s="2" t="s">
        <v>203</v>
      </c>
      <c r="B11" s="15">
        <v>40</v>
      </c>
      <c r="C11" s="2">
        <v>20</v>
      </c>
      <c r="D11" s="15">
        <f t="shared" si="0"/>
        <v>800</v>
      </c>
      <c r="E11" s="2"/>
    </row>
    <row r="12" spans="1:5" x14ac:dyDescent="0.35">
      <c r="A12" s="3" t="s">
        <v>204</v>
      </c>
      <c r="B12" s="16"/>
      <c r="C12" s="16"/>
      <c r="D12" s="17">
        <f>SUM(D4:D11)</f>
        <v>22650</v>
      </c>
      <c r="E12" s="16" t="s">
        <v>232</v>
      </c>
    </row>
  </sheetData>
  <mergeCells count="1">
    <mergeCell ref="A1:E1"/>
  </mergeCells>
  <pageMargins left="0.25" right="0.25" top="0.5" bottom="0.5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9"/>
  <sheetViews>
    <sheetView showGridLines="0" zoomScale="77" workbookViewId="0">
      <pane ySplit="1" topLeftCell="A3" activePane="bottomLeft" state="frozen"/>
      <selection pane="bottomLeft" sqref="A1:H1"/>
    </sheetView>
  </sheetViews>
  <sheetFormatPr defaultRowHeight="14.5" x14ac:dyDescent="0.35"/>
  <cols>
    <col min="1" max="1" width="28" customWidth="1"/>
    <col min="2" max="2" width="24" customWidth="1"/>
    <col min="3" max="4" width="20" customWidth="1"/>
    <col min="5" max="5" width="5" customWidth="1"/>
    <col min="6" max="6" width="18" customWidth="1"/>
    <col min="7" max="7" width="14" customWidth="1"/>
    <col min="8" max="8" width="12" customWidth="1"/>
  </cols>
  <sheetData>
    <row r="1" spans="1:8" ht="30" customHeight="1" x14ac:dyDescent="0.35">
      <c r="A1" s="23" t="s">
        <v>205</v>
      </c>
      <c r="B1" s="20"/>
      <c r="C1" s="20"/>
      <c r="D1" s="20"/>
      <c r="E1" s="20"/>
      <c r="F1" s="20"/>
      <c r="G1" s="20"/>
      <c r="H1" s="20"/>
    </row>
    <row r="3" spans="1:8" ht="18.5" x14ac:dyDescent="0.35">
      <c r="A3" s="3" t="s">
        <v>206</v>
      </c>
      <c r="B3" s="25" t="s">
        <v>3</v>
      </c>
      <c r="C3" s="20"/>
      <c r="D3" s="20"/>
      <c r="F3" s="10" t="s">
        <v>207</v>
      </c>
    </row>
    <row r="4" spans="1:8" ht="18.5" x14ac:dyDescent="0.35">
      <c r="A4" s="3" t="s">
        <v>208</v>
      </c>
      <c r="B4" s="25">
        <v>14</v>
      </c>
      <c r="C4" s="20"/>
      <c r="D4" s="20"/>
      <c r="F4" s="18" t="s">
        <v>135</v>
      </c>
      <c r="G4" s="18" t="s">
        <v>209</v>
      </c>
    </row>
    <row r="5" spans="1:8" ht="18.5" x14ac:dyDescent="0.35">
      <c r="A5" s="3" t="s">
        <v>210</v>
      </c>
      <c r="B5" s="25">
        <v>9</v>
      </c>
      <c r="C5" s="20"/>
      <c r="D5" s="20"/>
      <c r="F5" s="11" t="s">
        <v>140</v>
      </c>
      <c r="G5" s="11">
        <v>9</v>
      </c>
    </row>
    <row r="6" spans="1:8" ht="18.5" x14ac:dyDescent="0.35">
      <c r="A6" s="3" t="s">
        <v>211</v>
      </c>
      <c r="B6" s="25">
        <v>29</v>
      </c>
      <c r="C6" s="20"/>
      <c r="D6" s="20"/>
      <c r="F6" s="11" t="s">
        <v>153</v>
      </c>
      <c r="G6" s="11">
        <v>4</v>
      </c>
    </row>
    <row r="7" spans="1:8" ht="18.5" x14ac:dyDescent="0.35">
      <c r="A7" s="3" t="s">
        <v>212</v>
      </c>
      <c r="B7" s="25">
        <v>19</v>
      </c>
      <c r="C7" s="20"/>
      <c r="D7" s="20"/>
      <c r="F7" s="11" t="s">
        <v>162</v>
      </c>
      <c r="G7" s="11">
        <v>1</v>
      </c>
    </row>
    <row r="8" spans="1:8" ht="18.5" x14ac:dyDescent="0.35">
      <c r="A8" s="3" t="s">
        <v>213</v>
      </c>
      <c r="B8" s="25" t="s">
        <v>214</v>
      </c>
      <c r="C8" s="20"/>
      <c r="D8" s="20"/>
    </row>
    <row r="9" spans="1:8" ht="18.5" x14ac:dyDescent="0.35">
      <c r="A9" s="3" t="s">
        <v>215</v>
      </c>
      <c r="B9" s="25" t="s">
        <v>216</v>
      </c>
      <c r="C9" s="20"/>
      <c r="D9" s="20"/>
    </row>
  </sheetData>
  <mergeCells count="8">
    <mergeCell ref="A1:H1"/>
    <mergeCell ref="B7:D7"/>
    <mergeCell ref="B6:D6"/>
    <mergeCell ref="B3:D3"/>
    <mergeCell ref="B5:D5"/>
    <mergeCell ref="B8:D8"/>
    <mergeCell ref="B4:D4"/>
    <mergeCell ref="B9:D9"/>
  </mergeCells>
  <pageMargins left="0.25" right="0.25" top="0.5" bottom="0.5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Capa</vt:lpstr>
      <vt:lpstr>01_TAP</vt:lpstr>
      <vt:lpstr>02_EAP</vt:lpstr>
      <vt:lpstr>03_Backlog</vt:lpstr>
      <vt:lpstr>04_RACI</vt:lpstr>
      <vt:lpstr>05_Gantt</vt:lpstr>
      <vt:lpstr>06_Custos</vt:lpstr>
      <vt:lpstr>07_Dashboard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Ferreira De Lima</cp:lastModifiedBy>
  <dcterms:created xsi:type="dcterms:W3CDTF">2026-09-28T22:34:16Z</dcterms:created>
  <dcterms:modified xsi:type="dcterms:W3CDTF">2026-10-19T13:53:17Z</dcterms:modified>
</cp:coreProperties>
</file>