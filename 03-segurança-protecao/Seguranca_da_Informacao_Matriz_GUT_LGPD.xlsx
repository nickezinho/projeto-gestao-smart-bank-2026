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muel.ferreira\Downloads\"/>
    </mc:Choice>
  </mc:AlternateContent>
  <xr:revisionPtr revIDLastSave="0" documentId="13_ncr:1_{2C82AC8C-784C-4E71-B2EF-BA936E237BE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atriz GUT" sheetId="1" r:id="rId1"/>
    <sheet name="Políticas de Segurança" sheetId="2" r:id="rId2"/>
    <sheet name="LGPD - Inventário" sheetId="3" r:id="rId3"/>
    <sheet name="Escala GUT" sheetId="4" r:id="rId4"/>
  </sheets>
  <definedNames>
    <definedName name="_xlnm._FilterDatabase" localSheetId="2" hidden="1">'LGPD - Inventário'!$B$1:$F$21</definedName>
    <definedName name="_xlnm._FilterDatabase" localSheetId="0" hidden="1">'Matriz GUT'!$B$1:$I$21</definedName>
    <definedName name="_xlnm._FilterDatabase" localSheetId="1" hidden="1">'Políticas de Segurança'!$B$1:$E$25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G21" i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H12" i="1"/>
  <c r="G12" i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  <c r="G2" i="1"/>
  <c r="H2" i="1" s="1"/>
</calcChain>
</file>

<file path=xl/sharedStrings.xml><?xml version="1.0" encoding="utf-8"?>
<sst xmlns="http://schemas.openxmlformats.org/spreadsheetml/2006/main" count="304" uniqueCount="285">
  <si>
    <t>ID</t>
  </si>
  <si>
    <t>Ameaça</t>
  </si>
  <si>
    <t>Gravidade (1-5)</t>
  </si>
  <si>
    <t>Urgência (1-5)</t>
  </si>
  <si>
    <t>Tendência (1-5)</t>
  </si>
  <si>
    <t>Pontuação G×U×T</t>
  </si>
  <si>
    <t>Prioridade</t>
  </si>
  <si>
    <t>Medida de tratamento</t>
  </si>
  <si>
    <t>A01</t>
  </si>
  <si>
    <t>Acesso indevido a contas por senha fraca/roubada</t>
  </si>
  <si>
    <t>MFA para administradores, política de senha e limitação de tentativas</t>
  </si>
  <si>
    <t>A02</t>
  </si>
  <si>
    <t>Falha de autorização permitindo ver dados de outro usuário</t>
  </si>
  <si>
    <t>Verificar permissão no servidor em toda requisição e validar propriedade do registro</t>
  </si>
  <si>
    <t>A03</t>
  </si>
  <si>
    <t>Injeção SQL por consultas montadas com texto do usuário</t>
  </si>
  <si>
    <t>Consultas parametrizadas/ORM e validação de entrada</t>
  </si>
  <si>
    <t>A04</t>
  </si>
  <si>
    <t>Exposição de senhas por armazenamento em texto puro ou hash fraco</t>
  </si>
  <si>
    <t>Argon2id ou bcrypt com salt; nunca guardar senha reversível</t>
  </si>
  <si>
    <t>A05</t>
  </si>
  <si>
    <t>Vazamento de dados por configuração incorreta da nuvem/repositório</t>
  </si>
  <si>
    <t>Acesso privado por padrão, revisão de permissões e segredos fora do repositório</t>
  </si>
  <si>
    <t>A06</t>
  </si>
  <si>
    <t>Sequestro de sessão/token roubado</t>
  </si>
  <si>
    <t>HTTPS, cookies Secure/HttpOnly/SameSite, expiração e rotação de sessão</t>
  </si>
  <si>
    <t>A07</t>
  </si>
  <si>
    <t>Phishing contra integrante/administrador</t>
  </si>
  <si>
    <t>Treinamento, MFA e confirmação por canal independente para ações críticas</t>
  </si>
  <si>
    <t>A08</t>
  </si>
  <si>
    <t>Ataque de força bruta/credential stuffing</t>
  </si>
  <si>
    <t>Rate limiting, atraso progressivo, alertas e MFA</t>
  </si>
  <si>
    <t>A09</t>
  </si>
  <si>
    <t>Cross-Site Scripting (XSS) em campos exibidos</t>
  </si>
  <si>
    <t>Escape de saída, sanitização quando necessária e Content Security Policy</t>
  </si>
  <si>
    <t>A10</t>
  </si>
  <si>
    <t>Falsificação de requisição (CSRF)</t>
  </si>
  <si>
    <t>Tokens anti-CSRF e cookies SameSite em operações autenticadas</t>
  </si>
  <si>
    <t>A11</t>
  </si>
  <si>
    <t>Upload de arquivo malicioso ou excessivo</t>
  </si>
  <si>
    <t>Limitar tamanho/tipo, validar conteúdo, renomear e armazenar fora da pasta pública</t>
  </si>
  <si>
    <t>A12</t>
  </si>
  <si>
    <t>Perda de dados por falha sem backup recuperável</t>
  </si>
  <si>
    <t>Backups criptografados, isolados e testes periódicos de restauração</t>
  </si>
  <si>
    <t>A13</t>
  </si>
  <si>
    <t>Indisponibilidade por DDoS ou abuso de requisições</t>
  </si>
  <si>
    <t>Limites de requisição, monitoramento e proteção oferecida pela hospedagem</t>
  </si>
  <si>
    <t>A14</t>
  </si>
  <si>
    <t>Segredos/API keys expostos no Git</t>
  </si>
  <si>
    <t>Variáveis de ambiente/gerenciador de segredos e varredura de commits</t>
  </si>
  <si>
    <t>A15</t>
  </si>
  <si>
    <t>Bibliotecas vulneráveis ou desatualizadas</t>
  </si>
  <si>
    <t>Atualizações regulares, análise de dependências e remoção de pacotes sem uso</t>
  </si>
  <si>
    <t>A16</t>
  </si>
  <si>
    <t>Logs contendo senhas, tokens ou dados pessoais excessivos</t>
  </si>
  <si>
    <t>Mascarar dados, não registrar credenciais e restringir acesso/retensão dos logs</t>
  </si>
  <si>
    <t>A17</t>
  </si>
  <si>
    <t>Criptografia ausente em trânsito</t>
  </si>
  <si>
    <t>HTTPS/TLS em todas as conexões e redirecionamento de HTTP</t>
  </si>
  <si>
    <t>A18</t>
  </si>
  <si>
    <t>Permissões excessivas para equipe/administradores</t>
  </si>
  <si>
    <t>Privilégio mínimo, papéis definidos e revisão periódica de acessos</t>
  </si>
  <si>
    <t>A19</t>
  </si>
  <si>
    <t>Exclusão indevida ou acidental de registros</t>
  </si>
  <si>
    <t>Confirmação de operações críticas, trilha de auditoria e backup</t>
  </si>
  <si>
    <t>A20</t>
  </si>
  <si>
    <t>Tratamento de dados sem finalidade/base legal ou retenção definida</t>
  </si>
  <si>
    <t>Inventário de dados, finalidade/base legal documentadas e política de retenção</t>
  </si>
  <si>
    <t>Categoria</t>
  </si>
  <si>
    <t>Política / regra</t>
  </si>
  <si>
    <t>Justificativa técnica</t>
  </si>
  <si>
    <t>P01</t>
  </si>
  <si>
    <t>Autenticação</t>
  </si>
  <si>
    <t>Armazenar senhas com Argon2id ou bcrypt e salt individual; nunca em texto puro.</t>
  </si>
  <si>
    <t>Se o banco for acessado indevidamente, o atacante não obtém diretamente as senhas. [1]</t>
  </si>
  <si>
    <t>P02</t>
  </si>
  <si>
    <t>Exigir senhas fortes e permitir frases-senha longas; bloquear senhas comuns/comprometidas quando viável.</t>
  </si>
  <si>
    <t>Reduz ataques de adivinhação sem impor regras arbitrárias. [2]</t>
  </si>
  <si>
    <t>P03</t>
  </si>
  <si>
    <t>Exigir MFA para administradores e equipe com acesso a dados; oferecer MFA aos usuários.</t>
  </si>
  <si>
    <t>Uma senha roubada isoladamente não basta para acessar contas privilegiadas. [2]</t>
  </si>
  <si>
    <t>P04</t>
  </si>
  <si>
    <t>Limitar tentativas de login por conta/IP, com atraso progressivo e alertas.</t>
  </si>
  <si>
    <t>Dificulta força bruta e credential stuffing. [2]</t>
  </si>
  <si>
    <t>P05</t>
  </si>
  <si>
    <t>Mensagens de login e recuperação não devem revelar se um e-mail está cadastrado.</t>
  </si>
  <si>
    <t>Evita enumeração de contas. [2]</t>
  </si>
  <si>
    <t>P06</t>
  </si>
  <si>
    <t>Recuperação de senha por token aleatório, de uso único e com validade curta.</t>
  </si>
  <si>
    <t>Evita redefinições previsíveis ou reutilizáveis. [2]</t>
  </si>
  <si>
    <t>P07</t>
  </si>
  <si>
    <t>Invalidar sessões após logout, redefinição de senha e mudanças críticas de credenciais.</t>
  </si>
  <si>
    <t>Reduz o período em que um token roubado continua válido. [3]</t>
  </si>
  <si>
    <t>P08</t>
  </si>
  <si>
    <t>Cookies de sessão com Secure, HttpOnly e SameSite; evitar guardar tokens sensíveis em localStorage quando possível.</t>
  </si>
  <si>
    <t>Diminui exposição a interceptação e scripts maliciosos. [3]</t>
  </si>
  <si>
    <t>P09</t>
  </si>
  <si>
    <t>Autorização</t>
  </si>
  <si>
    <t>Verificar autorização no servidor em toda requisição, não apenas esconder botões na interface.</t>
  </si>
  <si>
    <t>A interface pode ser manipulada; a permissão precisa ser validada no recurso protegido. [4]</t>
  </si>
  <si>
    <t>P10</t>
  </si>
  <si>
    <t>Implementar RBAC com papéis mínimos (usuário, operador e administrador) e permissões explícitas.</t>
  </si>
  <si>
    <t>Impede que usuários comuns executem funções administrativas. [4]</t>
  </si>
  <si>
    <t>P11</t>
  </si>
  <si>
    <t>Validar a propriedade do registro: cada usuário acessa apenas seus próprios dados, salvo permissão expressa.</t>
  </si>
  <si>
    <t>Evita acesso a dados de terceiros por alteração de identificadores. [4]</t>
  </si>
  <si>
    <t>P12</t>
  </si>
  <si>
    <t>Negar por padrão e conceder somente permissões necessárias.</t>
  </si>
  <si>
    <t>Reduz o impacto de erros de configuração e contas comprometidas. [4]</t>
  </si>
  <si>
    <t>P13</t>
  </si>
  <si>
    <t>Revisar acessos da equipe periodicamente e remover acessos quando alguém sair do projeto.</t>
  </si>
  <si>
    <t>Evita contas antigas e privilégios desnecessários.</t>
  </si>
  <si>
    <t>P14</t>
  </si>
  <si>
    <t>Aplicação</t>
  </si>
  <si>
    <t>Usar consultas SQL parametrizadas ou ORM; nunca concatenar entrada do usuário em SQL.</t>
  </si>
  <si>
    <t>Previne injeção SQL.</t>
  </si>
  <si>
    <t>P15</t>
  </si>
  <si>
    <t>Validar entradas no servidor e codificar/escapar saídas exibidas ao usuário.</t>
  </si>
  <si>
    <t>Reduz XSS e dados malformados sem confiar apenas no navegador.</t>
  </si>
  <si>
    <t>P16</t>
  </si>
  <si>
    <t>Usar proteção CSRF em operações autenticadas que alteram estado e configurar SameSite.</t>
  </si>
  <si>
    <t>Dificulta que outro site induza ações não desejadas.</t>
  </si>
  <si>
    <t>P17</t>
  </si>
  <si>
    <t>Limitar tamanho/tipo de arquivos; renomear uploads e armazená-los fora da pasta pública.</t>
  </si>
  <si>
    <t>Reduz uploads perigosos e abuso de armazenamento.</t>
  </si>
  <si>
    <t>P18</t>
  </si>
  <si>
    <t>Infraestrutura</t>
  </si>
  <si>
    <t>Forçar HTTPS/TLS em todas as páginas e APIs.</t>
  </si>
  <si>
    <t>Protege dados em trânsito contra leitura e alteração.</t>
  </si>
  <si>
    <t>P19</t>
  </si>
  <si>
    <t>Manter dependências, framework e sistema operacional atualizados.</t>
  </si>
  <si>
    <t>Reduz exploração de vulnerabilidades conhecidas.</t>
  </si>
  <si>
    <t>P20</t>
  </si>
  <si>
    <t>Guardar chaves, tokens e senhas de serviços em variáveis de ambiente/gerenciador de segredos, nunca no Git.</t>
  </si>
  <si>
    <t>Evita exposição de credenciais no repositório.</t>
  </si>
  <si>
    <t>P21</t>
  </si>
  <si>
    <t>Configurar nuvem, banco e repositório como privados por padrão; compartilhar pelo menor privilégio.</t>
  </si>
  <si>
    <t>Evita exposição pública acidental.</t>
  </si>
  <si>
    <t>P22</t>
  </si>
  <si>
    <t>Monitoramento</t>
  </si>
  <si>
    <t>Registrar eventos de segurança sem gravar senhas, tokens ou dados pessoais desnecessários.</t>
  </si>
  <si>
    <t>Permite investigar incidentes sem criar um novo ponto de vazamento.</t>
  </si>
  <si>
    <t>P23</t>
  </si>
  <si>
    <t>Continuidade</t>
  </si>
  <si>
    <t>Realizar backups criptografados e testar a restauração periodicamente.</t>
  </si>
  <si>
    <t>Permite recuperar dados após falhas, erros ou ataques.</t>
  </si>
  <si>
    <t>P24</t>
  </si>
  <si>
    <t>Privacidade/LGPD</t>
  </si>
  <si>
    <t>Documentar finalidade, base legal, prazo de retenção e canal de direitos para cada dado.</t>
  </si>
  <si>
    <t>Evita coleta excessiva e dá transparência. [5][6]</t>
  </si>
  <si>
    <t>Dado pessoal / relacionado</t>
  </si>
  <si>
    <t>Finalidade</t>
  </si>
  <si>
    <t>Direito do titular / procedimento</t>
  </si>
  <si>
    <t>D01</t>
  </si>
  <si>
    <t>Nome completo</t>
  </si>
  <si>
    <t>Identificar o titular e personalizar atendimento.</t>
  </si>
  <si>
    <t>Execução de contrato/procedimentos preliminares, se necessário; ou consentimento quando adequado.</t>
  </si>
  <si>
    <t>Editar no perfil ou pedir correção/exclusão pelo canal de privacidade, respeitadas retenções legais.</t>
  </si>
  <si>
    <t>D02</t>
  </si>
  <si>
    <t>E-mail</t>
  </si>
  <si>
    <t>Login, comunicações operacionais e recuperação da conta.</t>
  </si>
  <si>
    <t>Execução de contrato; publicidade opcional exige base legal específica.</t>
  </si>
  <si>
    <t>Alterar com confirmação do novo endereço; solicitar exclusão quando não houver retenção obrigatória.</t>
  </si>
  <si>
    <t>D03</t>
  </si>
  <si>
    <t>Telefone</t>
  </si>
  <si>
    <t>Contato de suporte ou confirmação, apenas se necessário.</t>
  </si>
  <si>
    <t>Execução de contrato ou consentimento, conforme finalidade.</t>
  </si>
  <si>
    <t>Editar no perfil ou solicitar remoção pelo canal de privacidade.</t>
  </si>
  <si>
    <t>D04</t>
  </si>
  <si>
    <t>Nome de usuário</t>
  </si>
  <si>
    <t>Identificar a conta no sistema.</t>
  </si>
  <si>
    <t>Execução de contrato.</t>
  </si>
  <si>
    <t>Solicitar alteração quando viável e exclusão da conta.</t>
  </si>
  <si>
    <t>D05</t>
  </si>
  <si>
    <t>Senha (somente hash)</t>
  </si>
  <si>
    <t>Autenticar o usuário sem guardar a senha original.</t>
  </si>
  <si>
    <t>Execução de contrato para disponibilizar a conta.</t>
  </si>
  <si>
    <t>Redefinir senha; apagar o hash na exclusão da conta quando permitido.</t>
  </si>
  <si>
    <t>D06</t>
  </si>
  <si>
    <t>ID interno da conta</t>
  </si>
  <si>
    <t>Relacionar registros à conta sem repetir o nome em todas as tabelas.</t>
  </si>
  <si>
    <t>Execução de contrato; legítimo interesse somente após avaliação.</t>
  </si>
  <si>
    <t>Corrigir vínculo ou excluir/anonimizar quando possível ao encerrar a conta.</t>
  </si>
  <si>
    <t>D07</t>
  </si>
  <si>
    <t>Papel/perfil de acesso</t>
  </si>
  <si>
    <t>Determinar permissões de usuário, operador ou administrador.</t>
  </si>
  <si>
    <t>Segurança/legítimo interesse após avaliação; execução de contrato quando necessário.</t>
  </si>
  <si>
    <t>Solicitar correção do perfil; remover dados quando não forem mais necessários.</t>
  </si>
  <si>
    <t>D08</t>
  </si>
  <si>
    <t>Preferências de conta</t>
  </si>
  <si>
    <t>Guardar idioma e configurações escolhidas.</t>
  </si>
  <si>
    <t>Execução de contrato ou consentimento, conforme a preferência.</t>
  </si>
  <si>
    <t>Editar diretamente ou solicitar exclusão das preferências.</t>
  </si>
  <si>
    <t>D09</t>
  </si>
  <si>
    <t>Histórico de atividades</t>
  </si>
  <si>
    <t>Manter contexto do serviço e solucionar problemas, limitado ao necessário.</t>
  </si>
  <si>
    <t>Execução de contrato ou legítimo interesse documentado.</t>
  </si>
  <si>
    <t>Solicitar acesso/correção; eliminar ou anonimizar ao fim da retenção quando permitido.</t>
  </si>
  <si>
    <t>D10</t>
  </si>
  <si>
    <t>Registros de acesso (data/hora)</t>
  </si>
  <si>
    <t>Detectar acessos suspeitos e investigar incidentes.</t>
  </si>
  <si>
    <t>Segurança/legítimo interesse e eventual obrigação legal específica.</t>
  </si>
  <si>
    <t>Solicitar acesso/correção; apagar após prazo definido, salvo obrigação de guarda.</t>
  </si>
  <si>
    <t>D11</t>
  </si>
  <si>
    <t>Endereço IP</t>
  </si>
  <si>
    <t>Segurança, prevenção de abuso e diagnóstico técnico.</t>
  </si>
  <si>
    <t>Legítimo interesse/segurança com necessidade e proporcionalidade; obrigação legal se aplicável.</t>
  </si>
  <si>
    <t>Informar no aviso de privacidade e limitar retenção; atender pedidos conforme a base legal.</t>
  </si>
  <si>
    <t>D12</t>
  </si>
  <si>
    <t>Informações de navegador/dispositivo</t>
  </si>
  <si>
    <t>Compatibilidade e diagnóstico, evitando coleta excessiva.</t>
  </si>
  <si>
    <t>Legítimo interesse de segurança após avaliação de necessidade.</t>
  </si>
  <si>
    <t>Solicitar acesso e eliminar identificadores quando o prazo expirar.</t>
  </si>
  <si>
    <t>D13</t>
  </si>
  <si>
    <t>Logs de erros</t>
  </si>
  <si>
    <t>Diagnosticar falhas, removendo dados desnecessários.</t>
  </si>
  <si>
    <t>Legítimo interesse e segurança, com minimização.</t>
  </si>
  <si>
    <t>Solicitar acesso/correção quando identificável; expurgar ou anonimizar conforme retenção.</t>
  </si>
  <si>
    <t>D14</t>
  </si>
  <si>
    <t>Consentimentos e preferências de comunicação</t>
  </si>
  <si>
    <t>Comprovar escolhas sobre comunicações opcionais e respeitar opt-out.</t>
  </si>
  <si>
    <t>Consentimento, quando essa for a base legal escolhida para a finalidade.</t>
  </si>
  <si>
    <t>Retirar consentimento ou alterar preferência; guardar prova mínima quando necessária.</t>
  </si>
  <si>
    <t>D15</t>
  </si>
  <si>
    <t>Solicitações de suporte</t>
  </si>
  <si>
    <t>Responder dúvidas e resolver problemas.</t>
  </si>
  <si>
    <t>Execução de contrato/procedimentos preliminares ou outra base aplicável ao caso.</t>
  </si>
  <si>
    <t>Solicitar cópia/correção; eliminar após prazo necessário, salvo obrigação ou defesa de direitos.</t>
  </si>
  <si>
    <t>D16</t>
  </si>
  <si>
    <t>Anexos enviados ao suporte</t>
  </si>
  <si>
    <t>Analisar problema relatado, somente se anexos forem necessários.</t>
  </si>
  <si>
    <t>Base aplicável à solicitação, definida conforme o contexto.</t>
  </si>
  <si>
    <t>Solicitar remoção; restringir acesso e apagar após concluir a finalidade.</t>
  </si>
  <si>
    <t>D17</t>
  </si>
  <si>
    <t>ID de pedido/transação (se houver)</t>
  </si>
  <si>
    <t>Localizar pedido e prestar atendimento.</t>
  </si>
  <si>
    <t>Execução de contrato e obrigação legal/regulatória quando aplicável.</t>
  </si>
  <si>
    <t>Corrigir associação; excluir dados associados quando permitido.</t>
  </si>
  <si>
    <t>D18</t>
  </si>
  <si>
    <t>Endereço de entrega/faturamento (se houver)</t>
  </si>
  <si>
    <t>Entregar produto ou emitir documento fiscal.</t>
  </si>
  <si>
    <t>Execução de contrato e obrigação legal/regulatória, conforme o dado.</t>
  </si>
  <si>
    <t>Corrigir endereço; excluir quando não houver obrigação de conservação.</t>
  </si>
  <si>
    <t>D19</t>
  </si>
  <si>
    <t>Dados de cobrança (sem cartão completo/CVV)</t>
  </si>
  <si>
    <t>Processar pagamento por provedor especializado e reconciliar transações.</t>
  </si>
  <si>
    <t>Execução de contrato e obrigação legal/regulatória conforme aplicável.</t>
  </si>
  <si>
    <t>Corrigir dados e solicitar eliminação quando legalmente possível; usar provedor para dados de cartão.</t>
  </si>
  <si>
    <t>D20</t>
  </si>
  <si>
    <t>Registro de pedido de direitos LGPD</t>
  </si>
  <si>
    <t>Comprovar e atender pedido de acesso, correção ou exclusão.</t>
  </si>
  <si>
    <t>Cumprimento de obrigação legal e exercício regular de direitos, conforme necessidade.</t>
  </si>
  <si>
    <t>Corrigir o pedido; restringir acesso e manter apenas pelo prazo necessário.</t>
  </si>
  <si>
    <t>Nota</t>
  </si>
  <si>
    <t>Gravidade</t>
  </si>
  <si>
    <t>Urgência</t>
  </si>
  <si>
    <t>Tendência</t>
  </si>
  <si>
    <t>Impacto mínimo</t>
  </si>
  <si>
    <t>Pode aguardar</t>
  </si>
  <si>
    <t>Não deve piorar / muito lento</t>
  </si>
  <si>
    <t>Impacto baixo</t>
  </si>
  <si>
    <t>Baixa necessidade de ação</t>
  </si>
  <si>
    <t>Piora lentamente</t>
  </si>
  <si>
    <t>Impacto relevante</t>
  </si>
  <si>
    <t>Ação em prazo razoável</t>
  </si>
  <si>
    <t>Pode piorar no médio prazo</t>
  </si>
  <si>
    <t>Impacto grave</t>
  </si>
  <si>
    <t>Ação rápida</t>
  </si>
  <si>
    <t>Piora rapidamente</t>
  </si>
  <si>
    <t>Impacto crítico</t>
  </si>
  <si>
    <t>Ação imediata</t>
  </si>
  <si>
    <t>Piora muito rápido / iminente</t>
  </si>
  <si>
    <t>Faixa de pontuação</t>
  </si>
  <si>
    <t>Prioridade sugerida</t>
  </si>
  <si>
    <t>80–125</t>
  </si>
  <si>
    <t>Crítica</t>
  </si>
  <si>
    <t>45–79</t>
  </si>
  <si>
    <t>Alta</t>
  </si>
  <si>
    <t>20–44</t>
  </si>
  <si>
    <t>Média</t>
  </si>
  <si>
    <t>1–19</t>
  </si>
  <si>
    <t>Baixa</t>
  </si>
  <si>
    <t>Observação</t>
  </si>
  <si>
    <t>Pontuação = G × U × T. As faixas são convenção de priorização do grupo, não padrão legal universal.</t>
  </si>
  <si>
    <t xml:space="preserve">Base legal possível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</si>
</sst>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0" borderId="0" xfId="0" applyBorder="1" applyAlignment="1">
      <alignment vertical="top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1"/>
  <sheetViews>
    <sheetView showGridLines="0" zoomScale="83" zoomScaleNormal="71" workbookViewId="0">
      <pane ySplit="1" topLeftCell="A2" activePane="bottomLeft" state="frozen"/>
      <selection pane="bottomLeft" activeCell="G2" sqref="G2"/>
    </sheetView>
  </sheetViews>
  <sheetFormatPr defaultRowHeight="14.5" x14ac:dyDescent="0.35"/>
  <cols>
    <col min="1" max="1" width="4" customWidth="1"/>
    <col min="2" max="2" width="7.7265625" customWidth="1"/>
    <col min="3" max="3" width="43" customWidth="1"/>
    <col min="4" max="6" width="15" customWidth="1"/>
    <col min="7" max="7" width="18" customWidth="1"/>
    <col min="8" max="8" width="15" customWidth="1"/>
    <col min="9" max="9" width="48" customWidth="1"/>
  </cols>
  <sheetData>
    <row r="1" spans="2:9" ht="32" customHeight="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2:9" ht="48" customHeight="1" x14ac:dyDescent="0.35">
      <c r="B2" s="5" t="s">
        <v>8</v>
      </c>
      <c r="C2" s="4" t="s">
        <v>9</v>
      </c>
      <c r="D2" s="4">
        <v>5</v>
      </c>
      <c r="E2" s="4">
        <v>5</v>
      </c>
      <c r="F2" s="4">
        <v>5</v>
      </c>
      <c r="G2" s="4">
        <f t="shared" ref="G2:G21" si="0">D2*E2*F2</f>
        <v>125</v>
      </c>
      <c r="H2" s="4" t="str">
        <f t="shared" ref="H2:H21" si="1">IF(G2&gt;=80,"Crítica",IF(G2&gt;=45,"Alta",IF(G2&gt;=20,"Média","Baixa")))</f>
        <v>Crítica</v>
      </c>
      <c r="I2" s="4" t="s">
        <v>10</v>
      </c>
    </row>
    <row r="3" spans="2:9" ht="48" customHeight="1" x14ac:dyDescent="0.35">
      <c r="B3" s="5" t="s">
        <v>11</v>
      </c>
      <c r="C3" s="4" t="s">
        <v>12</v>
      </c>
      <c r="D3" s="4">
        <v>5</v>
      </c>
      <c r="E3" s="4">
        <v>5</v>
      </c>
      <c r="F3" s="4">
        <v>5</v>
      </c>
      <c r="G3" s="4">
        <f t="shared" si="0"/>
        <v>125</v>
      </c>
      <c r="H3" s="4" t="str">
        <f t="shared" si="1"/>
        <v>Crítica</v>
      </c>
      <c r="I3" s="4" t="s">
        <v>13</v>
      </c>
    </row>
    <row r="4" spans="2:9" ht="48" customHeight="1" x14ac:dyDescent="0.35">
      <c r="B4" s="5" t="s">
        <v>14</v>
      </c>
      <c r="C4" s="4" t="s">
        <v>15</v>
      </c>
      <c r="D4" s="4">
        <v>5</v>
      </c>
      <c r="E4" s="4">
        <v>4</v>
      </c>
      <c r="F4" s="4">
        <v>4</v>
      </c>
      <c r="G4" s="4">
        <f t="shared" si="0"/>
        <v>80</v>
      </c>
      <c r="H4" s="4" t="str">
        <f t="shared" si="1"/>
        <v>Crítica</v>
      </c>
      <c r="I4" s="4" t="s">
        <v>16</v>
      </c>
    </row>
    <row r="5" spans="2:9" ht="48" customHeight="1" x14ac:dyDescent="0.35">
      <c r="B5" s="5" t="s">
        <v>17</v>
      </c>
      <c r="C5" s="4" t="s">
        <v>18</v>
      </c>
      <c r="D5" s="4">
        <v>5</v>
      </c>
      <c r="E5" s="4">
        <v>4</v>
      </c>
      <c r="F5" s="4">
        <v>4</v>
      </c>
      <c r="G5" s="4">
        <f t="shared" si="0"/>
        <v>80</v>
      </c>
      <c r="H5" s="4" t="str">
        <f t="shared" si="1"/>
        <v>Crítica</v>
      </c>
      <c r="I5" s="4" t="s">
        <v>19</v>
      </c>
    </row>
    <row r="6" spans="2:9" ht="48" customHeight="1" x14ac:dyDescent="0.35">
      <c r="B6" s="5" t="s">
        <v>20</v>
      </c>
      <c r="C6" s="4" t="s">
        <v>21</v>
      </c>
      <c r="D6" s="4">
        <v>5</v>
      </c>
      <c r="E6" s="4">
        <v>4</v>
      </c>
      <c r="F6" s="4">
        <v>4</v>
      </c>
      <c r="G6" s="4">
        <f t="shared" si="0"/>
        <v>80</v>
      </c>
      <c r="H6" s="4" t="str">
        <f t="shared" si="1"/>
        <v>Crítica</v>
      </c>
      <c r="I6" s="4" t="s">
        <v>22</v>
      </c>
    </row>
    <row r="7" spans="2:9" ht="48" customHeight="1" x14ac:dyDescent="0.35">
      <c r="B7" s="5" t="s">
        <v>23</v>
      </c>
      <c r="C7" s="4" t="s">
        <v>24</v>
      </c>
      <c r="D7" s="4">
        <v>5</v>
      </c>
      <c r="E7" s="4">
        <v>4</v>
      </c>
      <c r="F7" s="4">
        <v>4</v>
      </c>
      <c r="G7" s="4">
        <f t="shared" si="0"/>
        <v>80</v>
      </c>
      <c r="H7" s="4" t="str">
        <f t="shared" si="1"/>
        <v>Crítica</v>
      </c>
      <c r="I7" s="4" t="s">
        <v>25</v>
      </c>
    </row>
    <row r="8" spans="2:9" ht="48" customHeight="1" x14ac:dyDescent="0.35">
      <c r="B8" s="5" t="s">
        <v>26</v>
      </c>
      <c r="C8" s="4" t="s">
        <v>27</v>
      </c>
      <c r="D8" s="4">
        <v>4</v>
      </c>
      <c r="E8" s="4">
        <v>4</v>
      </c>
      <c r="F8" s="4">
        <v>5</v>
      </c>
      <c r="G8" s="4">
        <f t="shared" si="0"/>
        <v>80</v>
      </c>
      <c r="H8" s="4" t="str">
        <f t="shared" si="1"/>
        <v>Crítica</v>
      </c>
      <c r="I8" s="4" t="s">
        <v>28</v>
      </c>
    </row>
    <row r="9" spans="2:9" ht="48" customHeight="1" x14ac:dyDescent="0.35">
      <c r="B9" s="5" t="s">
        <v>29</v>
      </c>
      <c r="C9" s="4" t="s">
        <v>30</v>
      </c>
      <c r="D9" s="4">
        <v>4</v>
      </c>
      <c r="E9" s="4">
        <v>4</v>
      </c>
      <c r="F9" s="4">
        <v>4</v>
      </c>
      <c r="G9" s="4">
        <f t="shared" si="0"/>
        <v>64</v>
      </c>
      <c r="H9" s="4" t="str">
        <f t="shared" si="1"/>
        <v>Alta</v>
      </c>
      <c r="I9" s="4" t="s">
        <v>31</v>
      </c>
    </row>
    <row r="10" spans="2:9" ht="48" customHeight="1" x14ac:dyDescent="0.35">
      <c r="B10" s="5" t="s">
        <v>32</v>
      </c>
      <c r="C10" s="4" t="s">
        <v>33</v>
      </c>
      <c r="D10" s="4">
        <v>4</v>
      </c>
      <c r="E10" s="4">
        <v>4</v>
      </c>
      <c r="F10" s="4">
        <v>4</v>
      </c>
      <c r="G10" s="4">
        <f t="shared" si="0"/>
        <v>64</v>
      </c>
      <c r="H10" s="4" t="str">
        <f t="shared" si="1"/>
        <v>Alta</v>
      </c>
      <c r="I10" s="4" t="s">
        <v>34</v>
      </c>
    </row>
    <row r="11" spans="2:9" ht="48" customHeight="1" x14ac:dyDescent="0.35">
      <c r="B11" s="5" t="s">
        <v>35</v>
      </c>
      <c r="C11" s="4" t="s">
        <v>36</v>
      </c>
      <c r="D11" s="4">
        <v>4</v>
      </c>
      <c r="E11" s="4">
        <v>3</v>
      </c>
      <c r="F11" s="4">
        <v>4</v>
      </c>
      <c r="G11" s="4">
        <f t="shared" si="0"/>
        <v>48</v>
      </c>
      <c r="H11" s="4" t="str">
        <f t="shared" si="1"/>
        <v>Alta</v>
      </c>
      <c r="I11" s="4" t="s">
        <v>37</v>
      </c>
    </row>
    <row r="12" spans="2:9" ht="48" customHeight="1" x14ac:dyDescent="0.35">
      <c r="B12" s="5" t="s">
        <v>38</v>
      </c>
      <c r="C12" s="4" t="s">
        <v>39</v>
      </c>
      <c r="D12" s="4">
        <v>4</v>
      </c>
      <c r="E12" s="4">
        <v>3</v>
      </c>
      <c r="F12" s="4">
        <v>4</v>
      </c>
      <c r="G12" s="4">
        <f t="shared" si="0"/>
        <v>48</v>
      </c>
      <c r="H12" s="4" t="str">
        <f t="shared" si="1"/>
        <v>Alta</v>
      </c>
      <c r="I12" s="4" t="s">
        <v>40</v>
      </c>
    </row>
    <row r="13" spans="2:9" ht="48" customHeight="1" x14ac:dyDescent="0.35">
      <c r="B13" s="5" t="s">
        <v>41</v>
      </c>
      <c r="C13" s="4" t="s">
        <v>42</v>
      </c>
      <c r="D13" s="4">
        <v>5</v>
      </c>
      <c r="E13" s="4">
        <v>3</v>
      </c>
      <c r="F13" s="4">
        <v>3</v>
      </c>
      <c r="G13" s="4">
        <f t="shared" si="0"/>
        <v>45</v>
      </c>
      <c r="H13" s="4" t="str">
        <f t="shared" si="1"/>
        <v>Alta</v>
      </c>
      <c r="I13" s="4" t="s">
        <v>43</v>
      </c>
    </row>
    <row r="14" spans="2:9" ht="48" customHeight="1" x14ac:dyDescent="0.35">
      <c r="B14" s="5" t="s">
        <v>44</v>
      </c>
      <c r="C14" s="4" t="s">
        <v>45</v>
      </c>
      <c r="D14" s="4">
        <v>4</v>
      </c>
      <c r="E14" s="4">
        <v>3</v>
      </c>
      <c r="F14" s="4">
        <v>4</v>
      </c>
      <c r="G14" s="4">
        <f t="shared" si="0"/>
        <v>48</v>
      </c>
      <c r="H14" s="4" t="str">
        <f t="shared" si="1"/>
        <v>Alta</v>
      </c>
      <c r="I14" s="4" t="s">
        <v>46</v>
      </c>
    </row>
    <row r="15" spans="2:9" ht="48" customHeight="1" x14ac:dyDescent="0.35">
      <c r="B15" s="5" t="s">
        <v>47</v>
      </c>
      <c r="C15" s="4" t="s">
        <v>48</v>
      </c>
      <c r="D15" s="4">
        <v>5</v>
      </c>
      <c r="E15" s="4">
        <v>3</v>
      </c>
      <c r="F15" s="4">
        <v>4</v>
      </c>
      <c r="G15" s="4">
        <f t="shared" si="0"/>
        <v>60</v>
      </c>
      <c r="H15" s="4" t="str">
        <f t="shared" si="1"/>
        <v>Alta</v>
      </c>
      <c r="I15" s="4" t="s">
        <v>49</v>
      </c>
    </row>
    <row r="16" spans="2:9" ht="48" customHeight="1" x14ac:dyDescent="0.35">
      <c r="B16" s="5" t="s">
        <v>50</v>
      </c>
      <c r="C16" s="4" t="s">
        <v>51</v>
      </c>
      <c r="D16" s="4">
        <v>4</v>
      </c>
      <c r="E16" s="4">
        <v>3</v>
      </c>
      <c r="F16" s="4">
        <v>4</v>
      </c>
      <c r="G16" s="4">
        <f t="shared" si="0"/>
        <v>48</v>
      </c>
      <c r="H16" s="4" t="str">
        <f t="shared" si="1"/>
        <v>Alta</v>
      </c>
      <c r="I16" s="4" t="s">
        <v>52</v>
      </c>
    </row>
    <row r="17" spans="2:9" ht="48" customHeight="1" x14ac:dyDescent="0.35">
      <c r="B17" s="5" t="s">
        <v>53</v>
      </c>
      <c r="C17" s="4" t="s">
        <v>54</v>
      </c>
      <c r="D17" s="4">
        <v>4</v>
      </c>
      <c r="E17" s="4">
        <v>3</v>
      </c>
      <c r="F17" s="4">
        <v>3</v>
      </c>
      <c r="G17" s="4">
        <f t="shared" si="0"/>
        <v>36</v>
      </c>
      <c r="H17" s="4" t="str">
        <f t="shared" si="1"/>
        <v>Média</v>
      </c>
      <c r="I17" s="4" t="s">
        <v>55</v>
      </c>
    </row>
    <row r="18" spans="2:9" ht="48" customHeight="1" x14ac:dyDescent="0.35">
      <c r="B18" s="5" t="s">
        <v>56</v>
      </c>
      <c r="C18" s="4" t="s">
        <v>57</v>
      </c>
      <c r="D18" s="4">
        <v>4</v>
      </c>
      <c r="E18" s="4">
        <v>3</v>
      </c>
      <c r="F18" s="4">
        <v>3</v>
      </c>
      <c r="G18" s="4">
        <f t="shared" si="0"/>
        <v>36</v>
      </c>
      <c r="H18" s="4" t="str">
        <f t="shared" si="1"/>
        <v>Média</v>
      </c>
      <c r="I18" s="4" t="s">
        <v>58</v>
      </c>
    </row>
    <row r="19" spans="2:9" ht="48" customHeight="1" x14ac:dyDescent="0.35">
      <c r="B19" s="5" t="s">
        <v>59</v>
      </c>
      <c r="C19" s="4" t="s">
        <v>60</v>
      </c>
      <c r="D19" s="4">
        <v>4</v>
      </c>
      <c r="E19" s="4">
        <v>3</v>
      </c>
      <c r="F19" s="4">
        <v>3</v>
      </c>
      <c r="G19" s="4">
        <f t="shared" si="0"/>
        <v>36</v>
      </c>
      <c r="H19" s="4" t="str">
        <f t="shared" si="1"/>
        <v>Média</v>
      </c>
      <c r="I19" s="4" t="s">
        <v>61</v>
      </c>
    </row>
    <row r="20" spans="2:9" ht="48" customHeight="1" x14ac:dyDescent="0.35">
      <c r="B20" s="5" t="s">
        <v>62</v>
      </c>
      <c r="C20" s="4" t="s">
        <v>63</v>
      </c>
      <c r="D20" s="4">
        <v>4</v>
      </c>
      <c r="E20" s="4">
        <v>3</v>
      </c>
      <c r="F20" s="4">
        <v>3</v>
      </c>
      <c r="G20" s="4">
        <f t="shared" si="0"/>
        <v>36</v>
      </c>
      <c r="H20" s="4" t="str">
        <f t="shared" si="1"/>
        <v>Média</v>
      </c>
      <c r="I20" s="4" t="s">
        <v>64</v>
      </c>
    </row>
    <row r="21" spans="2:9" ht="48" customHeight="1" x14ac:dyDescent="0.35">
      <c r="B21" s="5" t="s">
        <v>65</v>
      </c>
      <c r="C21" s="4" t="s">
        <v>66</v>
      </c>
      <c r="D21" s="4">
        <v>5</v>
      </c>
      <c r="E21" s="4">
        <v>3</v>
      </c>
      <c r="F21" s="4">
        <v>3</v>
      </c>
      <c r="G21" s="4">
        <f t="shared" si="0"/>
        <v>45</v>
      </c>
      <c r="H21" s="4" t="str">
        <f t="shared" si="1"/>
        <v>Alta</v>
      </c>
      <c r="I21" s="4" t="s">
        <v>67</v>
      </c>
    </row>
  </sheetData>
  <autoFilter ref="B1:I21" xr:uid="{00000000-0009-0000-0000-000000000000}"/>
  <pageMargins left="0.75" right="0.75" top="1" bottom="1" header="0.5" footer="0.5"/>
  <pageSetup paperSize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25"/>
  <sheetViews>
    <sheetView showGridLines="0" tabSelected="1" workbookViewId="0">
      <pane ySplit="1" topLeftCell="A4" activePane="bottomLeft" state="frozen"/>
      <selection pane="bottomLeft" activeCell="D4" sqref="D4"/>
    </sheetView>
  </sheetViews>
  <sheetFormatPr defaultRowHeight="14.5" x14ac:dyDescent="0.35"/>
  <cols>
    <col min="1" max="1" width="3.90625" customWidth="1"/>
    <col min="2" max="2" width="9" customWidth="1"/>
    <col min="3" max="3" width="22" customWidth="1"/>
    <col min="4" max="4" width="62" customWidth="1"/>
    <col min="5" max="5" width="66" customWidth="1"/>
  </cols>
  <sheetData>
    <row r="1" spans="2:5" ht="32" customHeight="1" x14ac:dyDescent="0.35">
      <c r="B1" s="1" t="s">
        <v>0</v>
      </c>
      <c r="C1" s="1" t="s">
        <v>68</v>
      </c>
      <c r="D1" s="1" t="s">
        <v>69</v>
      </c>
      <c r="E1" s="1" t="s">
        <v>70</v>
      </c>
    </row>
    <row r="2" spans="2:5" ht="48" customHeight="1" x14ac:dyDescent="0.35">
      <c r="B2" s="4" t="s">
        <v>71</v>
      </c>
      <c r="C2" s="4" t="s">
        <v>72</v>
      </c>
      <c r="D2" s="4" t="s">
        <v>73</v>
      </c>
      <c r="E2" s="4" t="s">
        <v>74</v>
      </c>
    </row>
    <row r="3" spans="2:5" ht="48" customHeight="1" x14ac:dyDescent="0.35">
      <c r="B3" s="4" t="s">
        <v>75</v>
      </c>
      <c r="C3" s="4" t="s">
        <v>72</v>
      </c>
      <c r="D3" s="4" t="s">
        <v>76</v>
      </c>
      <c r="E3" s="4" t="s">
        <v>77</v>
      </c>
    </row>
    <row r="4" spans="2:5" ht="48" customHeight="1" x14ac:dyDescent="0.35">
      <c r="B4" s="4" t="s">
        <v>78</v>
      </c>
      <c r="C4" s="4" t="s">
        <v>72</v>
      </c>
      <c r="D4" s="4" t="s">
        <v>79</v>
      </c>
      <c r="E4" s="4" t="s">
        <v>80</v>
      </c>
    </row>
    <row r="5" spans="2:5" ht="48" customHeight="1" x14ac:dyDescent="0.35">
      <c r="B5" s="4" t="s">
        <v>81</v>
      </c>
      <c r="C5" s="4" t="s">
        <v>72</v>
      </c>
      <c r="D5" s="4" t="s">
        <v>82</v>
      </c>
      <c r="E5" s="4" t="s">
        <v>83</v>
      </c>
    </row>
    <row r="6" spans="2:5" ht="48" customHeight="1" x14ac:dyDescent="0.35">
      <c r="B6" s="4" t="s">
        <v>84</v>
      </c>
      <c r="C6" s="4" t="s">
        <v>72</v>
      </c>
      <c r="D6" s="4" t="s">
        <v>85</v>
      </c>
      <c r="E6" s="4" t="s">
        <v>86</v>
      </c>
    </row>
    <row r="7" spans="2:5" ht="48" customHeight="1" x14ac:dyDescent="0.35">
      <c r="B7" s="4" t="s">
        <v>87</v>
      </c>
      <c r="C7" s="4" t="s">
        <v>72</v>
      </c>
      <c r="D7" s="4" t="s">
        <v>88</v>
      </c>
      <c r="E7" s="4" t="s">
        <v>89</v>
      </c>
    </row>
    <row r="8" spans="2:5" ht="48" customHeight="1" x14ac:dyDescent="0.35">
      <c r="B8" s="4" t="s">
        <v>90</v>
      </c>
      <c r="C8" s="4" t="s">
        <v>72</v>
      </c>
      <c r="D8" s="4" t="s">
        <v>91</v>
      </c>
      <c r="E8" s="4" t="s">
        <v>92</v>
      </c>
    </row>
    <row r="9" spans="2:5" ht="48" customHeight="1" x14ac:dyDescent="0.35">
      <c r="B9" s="4" t="s">
        <v>93</v>
      </c>
      <c r="C9" s="4" t="s">
        <v>72</v>
      </c>
      <c r="D9" s="4" t="s">
        <v>94</v>
      </c>
      <c r="E9" s="4" t="s">
        <v>95</v>
      </c>
    </row>
    <row r="10" spans="2:5" ht="48" customHeight="1" x14ac:dyDescent="0.35">
      <c r="B10" s="4" t="s">
        <v>96</v>
      </c>
      <c r="C10" s="4" t="s">
        <v>97</v>
      </c>
      <c r="D10" s="4" t="s">
        <v>98</v>
      </c>
      <c r="E10" s="4" t="s">
        <v>99</v>
      </c>
    </row>
    <row r="11" spans="2:5" ht="48" customHeight="1" x14ac:dyDescent="0.35">
      <c r="B11" s="4" t="s">
        <v>100</v>
      </c>
      <c r="C11" s="4" t="s">
        <v>97</v>
      </c>
      <c r="D11" s="4" t="s">
        <v>101</v>
      </c>
      <c r="E11" s="4" t="s">
        <v>102</v>
      </c>
    </row>
    <row r="12" spans="2:5" ht="48" customHeight="1" x14ac:dyDescent="0.35">
      <c r="B12" s="4" t="s">
        <v>103</v>
      </c>
      <c r="C12" s="4" t="s">
        <v>97</v>
      </c>
      <c r="D12" s="4" t="s">
        <v>104</v>
      </c>
      <c r="E12" s="4" t="s">
        <v>105</v>
      </c>
    </row>
    <row r="13" spans="2:5" ht="48" customHeight="1" x14ac:dyDescent="0.35">
      <c r="B13" s="4" t="s">
        <v>106</v>
      </c>
      <c r="C13" s="4" t="s">
        <v>97</v>
      </c>
      <c r="D13" s="4" t="s">
        <v>107</v>
      </c>
      <c r="E13" s="4" t="s">
        <v>108</v>
      </c>
    </row>
    <row r="14" spans="2:5" ht="48" customHeight="1" x14ac:dyDescent="0.35">
      <c r="B14" s="4" t="s">
        <v>109</v>
      </c>
      <c r="C14" s="4" t="s">
        <v>97</v>
      </c>
      <c r="D14" s="4" t="s">
        <v>110</v>
      </c>
      <c r="E14" s="4" t="s">
        <v>111</v>
      </c>
    </row>
    <row r="15" spans="2:5" ht="48" customHeight="1" x14ac:dyDescent="0.35">
      <c r="B15" s="4" t="s">
        <v>112</v>
      </c>
      <c r="C15" s="4" t="s">
        <v>113</v>
      </c>
      <c r="D15" s="4" t="s">
        <v>114</v>
      </c>
      <c r="E15" s="4" t="s">
        <v>115</v>
      </c>
    </row>
    <row r="16" spans="2:5" ht="48" customHeight="1" x14ac:dyDescent="0.35">
      <c r="B16" s="4" t="s">
        <v>116</v>
      </c>
      <c r="C16" s="4" t="s">
        <v>113</v>
      </c>
      <c r="D16" s="4" t="s">
        <v>117</v>
      </c>
      <c r="E16" s="4" t="s">
        <v>118</v>
      </c>
    </row>
    <row r="17" spans="2:5" ht="48" customHeight="1" x14ac:dyDescent="0.35">
      <c r="B17" s="4" t="s">
        <v>119</v>
      </c>
      <c r="C17" s="4" t="s">
        <v>113</v>
      </c>
      <c r="D17" s="4" t="s">
        <v>120</v>
      </c>
      <c r="E17" s="4" t="s">
        <v>121</v>
      </c>
    </row>
    <row r="18" spans="2:5" ht="48" customHeight="1" x14ac:dyDescent="0.35">
      <c r="B18" s="4" t="s">
        <v>122</v>
      </c>
      <c r="C18" s="4" t="s">
        <v>113</v>
      </c>
      <c r="D18" s="4" t="s">
        <v>123</v>
      </c>
      <c r="E18" s="4" t="s">
        <v>124</v>
      </c>
    </row>
    <row r="19" spans="2:5" ht="48" customHeight="1" x14ac:dyDescent="0.35">
      <c r="B19" s="4" t="s">
        <v>125</v>
      </c>
      <c r="C19" s="4" t="s">
        <v>126</v>
      </c>
      <c r="D19" s="4" t="s">
        <v>127</v>
      </c>
      <c r="E19" s="4" t="s">
        <v>128</v>
      </c>
    </row>
    <row r="20" spans="2:5" ht="48" customHeight="1" x14ac:dyDescent="0.35">
      <c r="B20" s="4" t="s">
        <v>129</v>
      </c>
      <c r="C20" s="4" t="s">
        <v>126</v>
      </c>
      <c r="D20" s="4" t="s">
        <v>130</v>
      </c>
      <c r="E20" s="4" t="s">
        <v>131</v>
      </c>
    </row>
    <row r="21" spans="2:5" ht="48" customHeight="1" x14ac:dyDescent="0.35">
      <c r="B21" s="4" t="s">
        <v>132</v>
      </c>
      <c r="C21" s="4" t="s">
        <v>126</v>
      </c>
      <c r="D21" s="4" t="s">
        <v>133</v>
      </c>
      <c r="E21" s="4" t="s">
        <v>134</v>
      </c>
    </row>
    <row r="22" spans="2:5" ht="48" customHeight="1" x14ac:dyDescent="0.35">
      <c r="B22" s="4" t="s">
        <v>135</v>
      </c>
      <c r="C22" s="4" t="s">
        <v>126</v>
      </c>
      <c r="D22" s="4" t="s">
        <v>136</v>
      </c>
      <c r="E22" s="4" t="s">
        <v>137</v>
      </c>
    </row>
    <row r="23" spans="2:5" ht="48" customHeight="1" x14ac:dyDescent="0.35">
      <c r="B23" s="4" t="s">
        <v>138</v>
      </c>
      <c r="C23" s="4" t="s">
        <v>139</v>
      </c>
      <c r="D23" s="4" t="s">
        <v>140</v>
      </c>
      <c r="E23" s="4" t="s">
        <v>141</v>
      </c>
    </row>
    <row r="24" spans="2:5" ht="48" customHeight="1" x14ac:dyDescent="0.35">
      <c r="B24" s="4" t="s">
        <v>142</v>
      </c>
      <c r="C24" s="4" t="s">
        <v>143</v>
      </c>
      <c r="D24" s="4" t="s">
        <v>144</v>
      </c>
      <c r="E24" s="4" t="s">
        <v>145</v>
      </c>
    </row>
    <row r="25" spans="2:5" ht="48" customHeight="1" x14ac:dyDescent="0.35">
      <c r="B25" s="4" t="s">
        <v>146</v>
      </c>
      <c r="C25" s="4" t="s">
        <v>147</v>
      </c>
      <c r="D25" s="4" t="s">
        <v>148</v>
      </c>
      <c r="E25" s="4" t="s">
        <v>149</v>
      </c>
    </row>
  </sheetData>
  <autoFilter ref="B1:E2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21"/>
  <sheetViews>
    <sheetView showGridLines="0" topLeftCell="C1" workbookViewId="0">
      <pane ySplit="1" topLeftCell="A19" activePane="bottomLeft" state="frozen"/>
      <selection pane="bottomLeft" activeCell="D3" sqref="D3"/>
    </sheetView>
  </sheetViews>
  <sheetFormatPr defaultRowHeight="14.5" x14ac:dyDescent="0.35"/>
  <cols>
    <col min="1" max="1" width="4.1796875" customWidth="1"/>
    <col min="2" max="2" width="9" customWidth="1"/>
    <col min="3" max="3" width="34" customWidth="1"/>
    <col min="4" max="4" width="42" customWidth="1"/>
    <col min="5" max="6" width="54" customWidth="1"/>
  </cols>
  <sheetData>
    <row r="1" spans="2:6" ht="32" customHeight="1" x14ac:dyDescent="0.35">
      <c r="B1" s="6" t="s">
        <v>0</v>
      </c>
      <c r="C1" s="6" t="s">
        <v>150</v>
      </c>
      <c r="D1" s="6" t="s">
        <v>151</v>
      </c>
      <c r="E1" s="7" t="s">
        <v>284</v>
      </c>
      <c r="F1" s="6" t="s">
        <v>152</v>
      </c>
    </row>
    <row r="2" spans="2:6" ht="48" customHeight="1" x14ac:dyDescent="0.35">
      <c r="B2" s="4" t="s">
        <v>153</v>
      </c>
      <c r="C2" s="4" t="s">
        <v>154</v>
      </c>
      <c r="D2" s="4" t="s">
        <v>155</v>
      </c>
      <c r="E2" s="4" t="s">
        <v>156</v>
      </c>
      <c r="F2" s="4" t="s">
        <v>157</v>
      </c>
    </row>
    <row r="3" spans="2:6" ht="48" customHeight="1" x14ac:dyDescent="0.35">
      <c r="B3" s="4" t="s">
        <v>158</v>
      </c>
      <c r="C3" s="4" t="s">
        <v>159</v>
      </c>
      <c r="D3" s="4" t="s">
        <v>160</v>
      </c>
      <c r="E3" s="4" t="s">
        <v>161</v>
      </c>
      <c r="F3" s="4" t="s">
        <v>162</v>
      </c>
    </row>
    <row r="4" spans="2:6" ht="48" customHeight="1" x14ac:dyDescent="0.35">
      <c r="B4" s="4" t="s">
        <v>163</v>
      </c>
      <c r="C4" s="4" t="s">
        <v>164</v>
      </c>
      <c r="D4" s="4" t="s">
        <v>165</v>
      </c>
      <c r="E4" s="4" t="s">
        <v>166</v>
      </c>
      <c r="F4" s="4" t="s">
        <v>167</v>
      </c>
    </row>
    <row r="5" spans="2:6" ht="48" customHeight="1" x14ac:dyDescent="0.35">
      <c r="B5" s="4" t="s">
        <v>168</v>
      </c>
      <c r="C5" s="4" t="s">
        <v>169</v>
      </c>
      <c r="D5" s="4" t="s">
        <v>170</v>
      </c>
      <c r="E5" s="4" t="s">
        <v>171</v>
      </c>
      <c r="F5" s="4" t="s">
        <v>172</v>
      </c>
    </row>
    <row r="6" spans="2:6" ht="48" customHeight="1" x14ac:dyDescent="0.35">
      <c r="B6" s="4" t="s">
        <v>173</v>
      </c>
      <c r="C6" s="4" t="s">
        <v>174</v>
      </c>
      <c r="D6" s="4" t="s">
        <v>175</v>
      </c>
      <c r="E6" s="4" t="s">
        <v>176</v>
      </c>
      <c r="F6" s="4" t="s">
        <v>177</v>
      </c>
    </row>
    <row r="7" spans="2:6" ht="48" customHeight="1" x14ac:dyDescent="0.35">
      <c r="B7" s="4" t="s">
        <v>178</v>
      </c>
      <c r="C7" s="4" t="s">
        <v>179</v>
      </c>
      <c r="D7" s="4" t="s">
        <v>180</v>
      </c>
      <c r="E7" s="4" t="s">
        <v>181</v>
      </c>
      <c r="F7" s="4" t="s">
        <v>182</v>
      </c>
    </row>
    <row r="8" spans="2:6" ht="48" customHeight="1" x14ac:dyDescent="0.35">
      <c r="B8" s="4" t="s">
        <v>183</v>
      </c>
      <c r="C8" s="4" t="s">
        <v>184</v>
      </c>
      <c r="D8" s="4" t="s">
        <v>185</v>
      </c>
      <c r="E8" s="4" t="s">
        <v>186</v>
      </c>
      <c r="F8" s="4" t="s">
        <v>187</v>
      </c>
    </row>
    <row r="9" spans="2:6" ht="48" customHeight="1" x14ac:dyDescent="0.35">
      <c r="B9" s="4" t="s">
        <v>188</v>
      </c>
      <c r="C9" s="4" t="s">
        <v>189</v>
      </c>
      <c r="D9" s="4" t="s">
        <v>190</v>
      </c>
      <c r="E9" s="4" t="s">
        <v>191</v>
      </c>
      <c r="F9" s="4" t="s">
        <v>192</v>
      </c>
    </row>
    <row r="10" spans="2:6" ht="48" customHeight="1" x14ac:dyDescent="0.35">
      <c r="B10" s="4" t="s">
        <v>193</v>
      </c>
      <c r="C10" s="4" t="s">
        <v>194</v>
      </c>
      <c r="D10" s="4" t="s">
        <v>195</v>
      </c>
      <c r="E10" s="4" t="s">
        <v>196</v>
      </c>
      <c r="F10" s="4" t="s">
        <v>197</v>
      </c>
    </row>
    <row r="11" spans="2:6" ht="48" customHeight="1" x14ac:dyDescent="0.35">
      <c r="B11" s="4" t="s">
        <v>198</v>
      </c>
      <c r="C11" s="4" t="s">
        <v>199</v>
      </c>
      <c r="D11" s="4" t="s">
        <v>200</v>
      </c>
      <c r="E11" s="4" t="s">
        <v>201</v>
      </c>
      <c r="F11" s="4" t="s">
        <v>202</v>
      </c>
    </row>
    <row r="12" spans="2:6" ht="48" customHeight="1" x14ac:dyDescent="0.35">
      <c r="B12" s="4" t="s">
        <v>203</v>
      </c>
      <c r="C12" s="4" t="s">
        <v>204</v>
      </c>
      <c r="D12" s="4" t="s">
        <v>205</v>
      </c>
      <c r="E12" s="4" t="s">
        <v>206</v>
      </c>
      <c r="F12" s="4" t="s">
        <v>207</v>
      </c>
    </row>
    <row r="13" spans="2:6" ht="48" customHeight="1" x14ac:dyDescent="0.35">
      <c r="B13" s="4" t="s">
        <v>208</v>
      </c>
      <c r="C13" s="4" t="s">
        <v>209</v>
      </c>
      <c r="D13" s="4" t="s">
        <v>210</v>
      </c>
      <c r="E13" s="4" t="s">
        <v>211</v>
      </c>
      <c r="F13" s="4" t="s">
        <v>212</v>
      </c>
    </row>
    <row r="14" spans="2:6" ht="48" customHeight="1" x14ac:dyDescent="0.35">
      <c r="B14" s="4" t="s">
        <v>213</v>
      </c>
      <c r="C14" s="4" t="s">
        <v>214</v>
      </c>
      <c r="D14" s="4" t="s">
        <v>215</v>
      </c>
      <c r="E14" s="4" t="s">
        <v>216</v>
      </c>
      <c r="F14" s="4" t="s">
        <v>217</v>
      </c>
    </row>
    <row r="15" spans="2:6" ht="48" customHeight="1" x14ac:dyDescent="0.35">
      <c r="B15" s="4" t="s">
        <v>218</v>
      </c>
      <c r="C15" s="4" t="s">
        <v>219</v>
      </c>
      <c r="D15" s="4" t="s">
        <v>220</v>
      </c>
      <c r="E15" s="4" t="s">
        <v>221</v>
      </c>
      <c r="F15" s="4" t="s">
        <v>222</v>
      </c>
    </row>
    <row r="16" spans="2:6" ht="48" customHeight="1" x14ac:dyDescent="0.35">
      <c r="B16" s="4" t="s">
        <v>223</v>
      </c>
      <c r="C16" s="4" t="s">
        <v>224</v>
      </c>
      <c r="D16" s="4" t="s">
        <v>225</v>
      </c>
      <c r="E16" s="4" t="s">
        <v>226</v>
      </c>
      <c r="F16" s="4" t="s">
        <v>227</v>
      </c>
    </row>
    <row r="17" spans="2:6" ht="48" customHeight="1" x14ac:dyDescent="0.35">
      <c r="B17" s="4" t="s">
        <v>228</v>
      </c>
      <c r="C17" s="4" t="s">
        <v>229</v>
      </c>
      <c r="D17" s="4" t="s">
        <v>230</v>
      </c>
      <c r="E17" s="4" t="s">
        <v>231</v>
      </c>
      <c r="F17" s="4" t="s">
        <v>232</v>
      </c>
    </row>
    <row r="18" spans="2:6" ht="48" customHeight="1" x14ac:dyDescent="0.35">
      <c r="B18" s="4" t="s">
        <v>233</v>
      </c>
      <c r="C18" s="4" t="s">
        <v>234</v>
      </c>
      <c r="D18" s="4" t="s">
        <v>235</v>
      </c>
      <c r="E18" s="4" t="s">
        <v>236</v>
      </c>
      <c r="F18" s="4" t="s">
        <v>237</v>
      </c>
    </row>
    <row r="19" spans="2:6" ht="48" customHeight="1" x14ac:dyDescent="0.35">
      <c r="B19" s="4" t="s">
        <v>238</v>
      </c>
      <c r="C19" s="4" t="s">
        <v>239</v>
      </c>
      <c r="D19" s="4" t="s">
        <v>240</v>
      </c>
      <c r="E19" s="4" t="s">
        <v>241</v>
      </c>
      <c r="F19" s="4" t="s">
        <v>242</v>
      </c>
    </row>
    <row r="20" spans="2:6" ht="48" customHeight="1" x14ac:dyDescent="0.35">
      <c r="B20" s="4" t="s">
        <v>243</v>
      </c>
      <c r="C20" s="4" t="s">
        <v>244</v>
      </c>
      <c r="D20" s="4" t="s">
        <v>245</v>
      </c>
      <c r="E20" s="4" t="s">
        <v>246</v>
      </c>
      <c r="F20" s="4" t="s">
        <v>247</v>
      </c>
    </row>
    <row r="21" spans="2:6" ht="48" customHeight="1" x14ac:dyDescent="0.35">
      <c r="B21" s="4" t="s">
        <v>248</v>
      </c>
      <c r="C21" s="4" t="s">
        <v>249</v>
      </c>
      <c r="D21" s="4" t="s">
        <v>250</v>
      </c>
      <c r="E21" s="4" t="s">
        <v>251</v>
      </c>
      <c r="F21" s="4" t="s">
        <v>252</v>
      </c>
    </row>
  </sheetData>
  <autoFilter ref="B1:F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23"/>
  <sheetViews>
    <sheetView showGridLines="0" workbookViewId="0">
      <selection activeCell="D5" sqref="D5"/>
    </sheetView>
  </sheetViews>
  <sheetFormatPr defaultRowHeight="14.5" x14ac:dyDescent="0.35"/>
  <cols>
    <col min="2" max="2" width="22" customWidth="1"/>
    <col min="3" max="4" width="38" customWidth="1"/>
    <col min="5" max="5" width="42" customWidth="1"/>
  </cols>
  <sheetData>
    <row r="1" spans="2:6" ht="32" customHeight="1" x14ac:dyDescent="0.35">
      <c r="B1" s="1" t="s">
        <v>253</v>
      </c>
      <c r="C1" s="1" t="s">
        <v>254</v>
      </c>
      <c r="D1" s="1" t="s">
        <v>255</v>
      </c>
      <c r="E1" s="1" t="s">
        <v>256</v>
      </c>
    </row>
    <row r="2" spans="2:6" ht="48" customHeight="1" x14ac:dyDescent="0.35">
      <c r="B2" s="4">
        <v>1</v>
      </c>
      <c r="C2" s="4" t="s">
        <v>257</v>
      </c>
      <c r="D2" s="4" t="s">
        <v>258</v>
      </c>
      <c r="E2" s="4" t="s">
        <v>259</v>
      </c>
    </row>
    <row r="3" spans="2:6" ht="48" customHeight="1" x14ac:dyDescent="0.35">
      <c r="B3" s="4">
        <v>2</v>
      </c>
      <c r="C3" s="4" t="s">
        <v>260</v>
      </c>
      <c r="D3" s="4" t="s">
        <v>261</v>
      </c>
      <c r="E3" s="4" t="s">
        <v>262</v>
      </c>
    </row>
    <row r="4" spans="2:6" ht="48" customHeight="1" x14ac:dyDescent="0.35">
      <c r="B4" s="4">
        <v>3</v>
      </c>
      <c r="C4" s="4" t="s">
        <v>263</v>
      </c>
      <c r="D4" s="4" t="s">
        <v>264</v>
      </c>
      <c r="E4" s="4" t="s">
        <v>265</v>
      </c>
    </row>
    <row r="5" spans="2:6" ht="48" customHeight="1" x14ac:dyDescent="0.35">
      <c r="B5" s="4">
        <v>4</v>
      </c>
      <c r="C5" s="4" t="s">
        <v>266</v>
      </c>
      <c r="D5" s="4" t="s">
        <v>267</v>
      </c>
      <c r="E5" s="4" t="s">
        <v>268</v>
      </c>
    </row>
    <row r="6" spans="2:6" ht="48" customHeight="1" x14ac:dyDescent="0.35">
      <c r="B6" s="4">
        <v>5</v>
      </c>
      <c r="C6" s="4" t="s">
        <v>269</v>
      </c>
      <c r="D6" s="4" t="s">
        <v>270</v>
      </c>
      <c r="E6" s="4" t="s">
        <v>271</v>
      </c>
    </row>
    <row r="7" spans="2:6" ht="48" customHeight="1" x14ac:dyDescent="0.35">
      <c r="B7" s="8"/>
      <c r="C7" s="8"/>
      <c r="D7" s="8"/>
      <c r="E7" s="8"/>
      <c r="F7" s="8"/>
    </row>
    <row r="8" spans="2:6" ht="48" customHeight="1" x14ac:dyDescent="0.35">
      <c r="B8" s="8"/>
      <c r="C8" s="8"/>
      <c r="D8" s="8"/>
      <c r="E8" s="8"/>
      <c r="F8" s="8"/>
    </row>
    <row r="9" spans="2:6" ht="48" customHeight="1" x14ac:dyDescent="0.35">
      <c r="B9" s="9" t="s">
        <v>272</v>
      </c>
      <c r="C9" s="9" t="s">
        <v>273</v>
      </c>
      <c r="D9" s="8"/>
      <c r="E9" s="8"/>
      <c r="F9" s="8"/>
    </row>
    <row r="10" spans="2:6" ht="48" customHeight="1" x14ac:dyDescent="0.35">
      <c r="B10" s="4" t="s">
        <v>274</v>
      </c>
      <c r="C10" s="4" t="s">
        <v>275</v>
      </c>
      <c r="D10" s="8"/>
      <c r="E10" s="8"/>
      <c r="F10" s="8"/>
    </row>
    <row r="11" spans="2:6" ht="48" customHeight="1" x14ac:dyDescent="0.35">
      <c r="B11" s="4" t="s">
        <v>276</v>
      </c>
      <c r="C11" s="4" t="s">
        <v>277</v>
      </c>
      <c r="D11" s="8"/>
      <c r="E11" s="8"/>
      <c r="F11" s="8"/>
    </row>
    <row r="12" spans="2:6" ht="48" customHeight="1" x14ac:dyDescent="0.35">
      <c r="B12" s="4" t="s">
        <v>278</v>
      </c>
      <c r="C12" s="4" t="s">
        <v>279</v>
      </c>
      <c r="D12" s="8"/>
      <c r="E12" s="8"/>
      <c r="F12" s="8"/>
    </row>
    <row r="13" spans="2:6" ht="48" customHeight="1" x14ac:dyDescent="0.35">
      <c r="B13" s="4" t="s">
        <v>280</v>
      </c>
      <c r="C13" s="4" t="s">
        <v>281</v>
      </c>
      <c r="D13" s="8"/>
      <c r="E13" s="8"/>
      <c r="F13" s="8"/>
    </row>
    <row r="14" spans="2:6" ht="48" customHeight="1" x14ac:dyDescent="0.35">
      <c r="B14" s="2"/>
      <c r="C14" s="8"/>
      <c r="D14" s="8"/>
      <c r="E14" s="8"/>
      <c r="F14" s="8"/>
    </row>
    <row r="15" spans="2:6" ht="48" customHeight="1" x14ac:dyDescent="0.35">
      <c r="B15" s="10" t="s">
        <v>282</v>
      </c>
      <c r="C15" s="3" t="s">
        <v>283</v>
      </c>
      <c r="D15" s="8"/>
      <c r="E15" s="8"/>
      <c r="F15" s="8"/>
    </row>
    <row r="16" spans="2:6" x14ac:dyDescent="0.35">
      <c r="D16" s="8"/>
      <c r="E16" s="8"/>
      <c r="F16" s="8"/>
    </row>
    <row r="17" spans="4:6" x14ac:dyDescent="0.35">
      <c r="D17" s="8"/>
      <c r="E17" s="8"/>
      <c r="F17" s="8"/>
    </row>
    <row r="18" spans="4:6" x14ac:dyDescent="0.35">
      <c r="D18" s="8"/>
      <c r="E18" s="8"/>
      <c r="F18" s="8"/>
    </row>
    <row r="19" spans="4:6" x14ac:dyDescent="0.35">
      <c r="D19" s="8"/>
      <c r="E19" s="8"/>
      <c r="F19" s="8"/>
    </row>
    <row r="20" spans="4:6" x14ac:dyDescent="0.35">
      <c r="D20" s="8"/>
      <c r="E20" s="8"/>
      <c r="F20" s="8"/>
    </row>
    <row r="21" spans="4:6" x14ac:dyDescent="0.35">
      <c r="D21" s="8"/>
      <c r="E21" s="8"/>
      <c r="F21" s="8"/>
    </row>
    <row r="22" spans="4:6" x14ac:dyDescent="0.35">
      <c r="D22" s="8"/>
      <c r="E22" s="8"/>
      <c r="F22" s="8"/>
    </row>
    <row r="23" spans="4:6" x14ac:dyDescent="0.35">
      <c r="D23" s="8"/>
      <c r="E23" s="8"/>
      <c r="F23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Matriz GUT</vt:lpstr>
      <vt:lpstr>Políticas de Segurança</vt:lpstr>
      <vt:lpstr>LGPD - Inventário</vt:lpstr>
      <vt:lpstr>Escala GUT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Ferreira De Lima</cp:lastModifiedBy>
  <dcterms:created xsi:type="dcterms:W3CDTF">2026-10-19T15:41:36Z</dcterms:created>
  <dcterms:modified xsi:type="dcterms:W3CDTF">2026-10-20T00:40:56Z</dcterms:modified>
</cp:coreProperties>
</file>